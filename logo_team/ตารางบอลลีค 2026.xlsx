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โปรแกรมการแข่งขัน" sheetId="1" r:id="rId5"/>
  </sheets>
  <definedNames/>
  <calcPr/>
</workbook>
</file>

<file path=xl/sharedStrings.xml><?xml version="1.0" encoding="utf-8"?>
<sst xmlns="http://schemas.openxmlformats.org/spreadsheetml/2006/main" count="129" uniqueCount="51">
  <si>
    <t>โปรแกรมการแข่งขัน</t>
  </si>
  <si>
    <t>week</t>
  </si>
  <si>
    <t>Date</t>
  </si>
  <si>
    <t>คู่ที่</t>
  </si>
  <si>
    <t>นัดที่</t>
  </si>
  <si>
    <t>คู่แข่งขัน</t>
  </si>
  <si>
    <t>เวลา</t>
  </si>
  <si>
    <t>ผลการแข่งขัน</t>
  </si>
  <si>
    <t>Commitee</t>
  </si>
  <si>
    <t>Leader</t>
  </si>
  <si>
    <t>Photo</t>
  </si>
  <si>
    <t>พากย์</t>
  </si>
  <si>
    <t>Record</t>
  </si>
  <si>
    <t>ทีม</t>
  </si>
  <si>
    <t>แข่งรวม(นัด)</t>
  </si>
  <si>
    <t>สี</t>
  </si>
  <si>
    <t>ส่งใบสมัคร</t>
  </si>
  <si>
    <t>เบอร์เสื้อ</t>
  </si>
  <si>
    <t>จำนวน</t>
  </si>
  <si>
    <t>โลโก้</t>
  </si>
  <si>
    <t>ชุดแข่ง</t>
  </si>
  <si>
    <t>A</t>
  </si>
  <si>
    <t>B</t>
  </si>
  <si>
    <t>C</t>
  </si>
  <si>
    <t>D</t>
  </si>
  <si>
    <t>E</t>
  </si>
  <si>
    <t>F</t>
  </si>
  <si>
    <t>G</t>
  </si>
  <si>
    <t>H</t>
  </si>
  <si>
    <t>-</t>
  </si>
  <si>
    <t>I/M LPB</t>
  </si>
  <si>
    <t>น้ำเงิน</t>
  </si>
  <si>
    <t>ok</t>
  </si>
  <si>
    <t>Fac 6.</t>
  </si>
  <si>
    <t>ฟ้า</t>
  </si>
  <si>
    <t xml:space="preserve">PLANT MAINTENANCE FC. </t>
  </si>
  <si>
    <t>ม่วง</t>
  </si>
  <si>
    <t>STM</t>
  </si>
  <si>
    <t>แดง</t>
  </si>
  <si>
    <t>H&amp;O</t>
  </si>
  <si>
    <t>ชมพู</t>
  </si>
  <si>
    <t>PRESS UNITED</t>
  </si>
  <si>
    <t>ส้ม</t>
  </si>
  <si>
    <t>ROD END FC</t>
  </si>
  <si>
    <t>ดำ</t>
  </si>
  <si>
    <t>Staff LPB</t>
  </si>
  <si>
    <t>ขาว</t>
  </si>
  <si>
    <t>team</t>
  </si>
  <si>
    <t>total match</t>
  </si>
  <si>
    <t>Start date</t>
  </si>
  <si>
    <t>5,6,7,8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</si>
</sst>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, dd/mmm"/>
    <numFmt numFmtId="165" formatCode="ddd, d/mmm"/>
  </numFmts>
  <fonts count="14">
    <font>
      <sz val="10.0"/>
      <color rgb="FF000000"/>
      <name val="Arial"/>
      <scheme val="minor"/>
    </font>
    <font>
      <b/>
      <sz val="30.0"/>
      <color theme="1"/>
      <name val="Tahoma"/>
    </font>
    <font>
      <sz val="11.0"/>
      <color theme="1"/>
      <name val="Tahoma"/>
    </font>
    <font>
      <color theme="1"/>
      <name val="Arial"/>
    </font>
    <font>
      <color theme="1"/>
      <name val="Arial"/>
      <scheme val="minor"/>
    </font>
    <font/>
    <font>
      <b/>
      <sz val="11.0"/>
      <color theme="1"/>
      <name val="Tahoma"/>
    </font>
    <font>
      <sz val="11.0"/>
      <color rgb="FF000000"/>
      <name val="Tahoma"/>
    </font>
    <font>
      <sz val="9.0"/>
      <color rgb="FFD9D9D9"/>
      <name val="Google Sans Mono"/>
    </font>
    <font>
      <color rgb="FFD9D9D9"/>
      <name val="Arial"/>
    </font>
    <font>
      <color theme="0"/>
      <name val="Arial"/>
      <scheme val="minor"/>
    </font>
    <font>
      <color rgb="FFFFFFFF"/>
      <name val="Arial"/>
      <scheme val="minor"/>
    </font>
    <font>
      <sz val="11.0"/>
      <color rgb="FF0000FF"/>
      <name val="BlinkMacSystemFont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A300C6"/>
        <bgColor rgb="FFA300C6"/>
      </patternFill>
    </fill>
    <fill>
      <patternFill patternType="solid">
        <fgColor rgb="FFFF0000"/>
        <bgColor rgb="FFFF0000"/>
      </patternFill>
    </fill>
    <fill>
      <patternFill patternType="solid">
        <fgColor rgb="FFFF5AB3"/>
        <bgColor rgb="FFFF5AB3"/>
      </patternFill>
    </fill>
    <fill>
      <patternFill patternType="solid">
        <fgColor rgb="FFFF9900"/>
        <bgColor rgb="FFFF9900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164" xfId="0" applyAlignment="1" applyFill="1" applyFont="1" applyNumberFormat="1">
      <alignment horizontal="center" readingOrder="0" vertical="bottom"/>
    </xf>
    <xf borderId="0" fillId="3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4" fontId="4" numFmtId="0" xfId="0" applyAlignment="1" applyFill="1" applyFont="1">
      <alignment horizontal="left" readingOrder="0"/>
    </xf>
    <xf borderId="0" fillId="0" fontId="4" numFmtId="0" xfId="0" applyAlignment="1" applyFont="1">
      <alignment horizontal="center"/>
    </xf>
    <xf borderId="1" fillId="3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horizontal="center" readingOrder="0" vertical="bottom"/>
    </xf>
    <xf borderId="4" fillId="3" fontId="2" numFmtId="0" xfId="0" applyAlignment="1" applyBorder="1" applyFill="1" applyFont="1">
      <alignment horizontal="center" readingOrder="0" vertical="bottom"/>
    </xf>
    <xf borderId="4" fillId="0" fontId="5" numFmtId="0" xfId="0" applyBorder="1" applyFont="1"/>
    <xf borderId="3" fillId="0" fontId="5" numFmtId="0" xfId="0" applyBorder="1" applyFont="1"/>
    <xf borderId="0" fillId="0" fontId="3" numFmtId="0" xfId="0" applyAlignment="1" applyFont="1">
      <alignment readingOrder="0" vertical="bottom"/>
    </xf>
    <xf borderId="2" fillId="0" fontId="6" numFmtId="0" xfId="0" applyAlignment="1" applyBorder="1" applyFont="1">
      <alignment horizontal="center" vertical="bottom"/>
    </xf>
    <xf borderId="2" fillId="0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3" fontId="2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5" fontId="7" numFmtId="0" xfId="0" applyAlignment="1" applyBorder="1" applyFill="1" applyFont="1">
      <alignment horizontal="center" readingOrder="0" vertical="bottom"/>
    </xf>
    <xf borderId="5" fillId="5" fontId="7" numFmtId="0" xfId="0" applyAlignment="1" applyBorder="1" applyFill="1" applyFont="1">
      <alignment horizontal="center" readingOrder="0" vertical="bottom"/>
    </xf>
    <xf borderId="5" fillId="3" fontId="2" numFmtId="20" xfId="0" applyAlignment="1" applyBorder="1" applyFill="1" applyFont="1" applyNumberFormat="1">
      <alignment horizontal="center" readingOrder="0" vertical="bottom"/>
    </xf>
    <xf borderId="2" fillId="3" fontId="3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left"/>
    </xf>
    <xf borderId="0" fillId="3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2" fillId="5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readingOrder="0" vertical="bottom"/>
    </xf>
    <xf borderId="2" fillId="6" fontId="10" numFmtId="0" xfId="0" applyAlignment="1" applyBorder="1" applyFill="1" applyFont="1">
      <alignment readingOrder="0"/>
    </xf>
    <xf borderId="2" fillId="5" fontId="4" numFmtId="0" xfId="0" applyAlignment="1" applyBorder="1" applyFill="1" applyFont="1">
      <alignment horizontal="center" readingOrder="0"/>
    </xf>
    <xf borderId="0" fillId="0" fontId="4" numFmtId="0" xfId="0" applyFont="1"/>
    <xf borderId="2" fillId="5" fontId="7" numFmtId="0" xfId="0" applyAlignment="1" applyBorder="1" applyFill="1" applyFont="1">
      <alignment horizontal="center" readingOrder="0" vertical="bottom"/>
    </xf>
    <xf borderId="2" fillId="5" fontId="2" numFmtId="0" xfId="0" applyAlignment="1" applyBorder="1" applyFill="1" applyFont="1">
      <alignment horizontal="center" vertical="bottom"/>
    </xf>
    <xf borderId="2" fillId="7" fontId="4" numFmtId="0" xfId="0" applyAlignment="1" applyBorder="1" applyFill="1" applyFont="1">
      <alignment readingOrder="0"/>
    </xf>
    <xf borderId="2" fillId="8" fontId="11" numFmtId="0" xfId="0" applyAlignment="1" applyBorder="1" applyFill="1" applyFont="1">
      <alignment horizontal="left" readingOrder="0"/>
    </xf>
    <xf borderId="2" fillId="9" fontId="11" numFmtId="0" xfId="0" applyAlignment="1" applyBorder="1" applyFill="1" applyFont="1">
      <alignment readingOrder="0"/>
    </xf>
    <xf borderId="2" fillId="10" fontId="4" numFmtId="0" xfId="0" applyAlignment="1" applyBorder="1" applyFill="1" applyFont="1">
      <alignment readingOrder="0"/>
    </xf>
    <xf borderId="2" fillId="11" fontId="11" numFmtId="0" xfId="0" applyAlignment="1" applyBorder="1" applyFill="1" applyFont="1">
      <alignment readingOrder="0"/>
    </xf>
    <xf borderId="2" fillId="12" fontId="10" numFmtId="0" xfId="0" applyAlignment="1" applyBorder="1" applyFill="1" applyFont="1">
      <alignment readingOrder="0"/>
    </xf>
    <xf borderId="7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/>
    </xf>
    <xf borderId="8" fillId="0" fontId="4" numFmtId="0" xfId="0" applyAlignment="1" applyBorder="1" applyFont="1">
      <alignment horizontal="left" readingOrder="0"/>
    </xf>
    <xf borderId="5" fillId="3" fontId="2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11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1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Font="1" applyNumberFormat="1"/>
    <xf borderId="3" fillId="0" fontId="2" numFmtId="0" xfId="0" applyAlignment="1" applyBorder="1" applyFont="1">
      <alignment horizontal="center" readingOrder="0" vertical="bottom"/>
    </xf>
    <xf borderId="2" fillId="13" fontId="7" numFmtId="0" xfId="0" applyAlignment="1" applyBorder="1" applyFill="1" applyFont="1">
      <alignment horizontal="center" readingOrder="0" vertical="bottom"/>
    </xf>
    <xf borderId="3" fillId="13" fontId="7" numFmtId="0" xfId="0" applyAlignment="1" applyBorder="1" applyFill="1" applyFont="1">
      <alignment horizontal="center" readingOrder="0" vertical="bottom"/>
    </xf>
    <xf borderId="3" fillId="3" fontId="2" numFmtId="20" xfId="0" applyAlignment="1" applyBorder="1" applyFill="1" applyFont="1" applyNumberFormat="1">
      <alignment horizontal="center" readingOrder="0" vertical="bottom"/>
    </xf>
    <xf borderId="6" fillId="13" fontId="7" numFmtId="0" xfId="0" applyAlignment="1" applyBorder="1" applyFill="1" applyFont="1">
      <alignment horizontal="center" readingOrder="0" vertical="bottom"/>
    </xf>
    <xf borderId="5" fillId="13" fontId="7" numFmtId="0" xfId="0" applyAlignment="1" applyBorder="1" applyFill="1" applyFont="1">
      <alignment horizontal="center" readingOrder="0" vertical="bottom"/>
    </xf>
    <xf borderId="6" fillId="14" fontId="7" numFmtId="0" xfId="0" applyAlignment="1" applyBorder="1" applyFill="1" applyFont="1">
      <alignment horizontal="center" readingOrder="0" vertical="bottom"/>
    </xf>
    <xf borderId="5" fillId="14" fontId="7" numFmtId="0" xfId="0" applyAlignment="1" applyBorder="1" applyFill="1" applyFont="1">
      <alignment horizontal="center" readingOrder="0" vertical="bottom"/>
    </xf>
    <xf borderId="0" fillId="0" fontId="13" numFmtId="165" xfId="0" applyAlignment="1" applyFont="1" applyNumberFormat="1">
      <alignment horizontal="left" readingOrder="0" shrinkToFit="0" vertical="bottom" wrapText="0"/>
    </xf>
    <xf borderId="0" fillId="0" fontId="13" numFmtId="164" xfId="0" applyAlignment="1" applyFont="1" applyNumberFormat="1">
      <alignment horizontal="lef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3" numFmtId="20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center" shrinkToFit="0" vertical="bottom" wrapText="0"/>
    </xf>
  </cellXfs>
  <cellStyles count="1">
    <cellStyle xfId="0" name="Normal" builtinId="0"/>
  </cellStyles>
  <dxfs count="12"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theme="0"/>
      </font>
      <fill>
        <patternFill patternType="solid">
          <fgColor rgb="FFA300C6"/>
          <bgColor rgb="FFA300C6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>
        <color theme="1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5AB3"/>
          <bgColor rgb="FFFF5AB3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theme="1"/>
      </font>
      <fill>
        <patternFill patternType="solid">
          <fgColor theme="0"/>
          <bgColor theme="0"/>
        </patternFill>
      </fill>
      <border/>
    </dxf>
    <dxf>
      <font>
        <color rgb="FFFFFFFF"/>
      </font>
      <fill>
        <patternFill patternType="solid">
          <fgColor theme="1"/>
          <bgColor theme="1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75"/>
    <col customWidth="1" min="3" max="3" width="4.38"/>
    <col customWidth="1" min="4" max="4" width="4.5"/>
    <col customWidth="1" min="5" max="5" width="26.88"/>
    <col customWidth="1" min="6" max="6" width="1.63"/>
    <col customWidth="1" min="7" max="7" width="26.88"/>
    <col customWidth="1" min="8" max="8" width="4.5"/>
    <col customWidth="1" min="9" max="9" width="7.88"/>
    <col customWidth="1" min="10" max="11" width="10.13"/>
    <col customWidth="1" min="12" max="12" width="9.63"/>
    <col customWidth="1" min="13" max="13" width="7.88"/>
    <col customWidth="1" min="14" max="14" width="10.5"/>
    <col customWidth="1" min="15" max="15" width="8.88"/>
    <col customWidth="1" min="16" max="16" width="10.5"/>
    <col customWidth="1" min="17" max="17" width="1.88"/>
    <col customWidth="1" min="18" max="18" width="2.13"/>
    <col customWidth="1" min="19" max="19" width="6.25"/>
    <col customWidth="1" min="20" max="20" width="23.13"/>
    <col customWidth="1" min="21" max="21" width="11.75"/>
    <col customWidth="1" min="23" max="23" width="8.38"/>
    <col customWidth="1" min="24" max="24" width="31.63"/>
    <col customWidth="1" min="25" max="25" width="5.63"/>
    <col customWidth="1" min="26" max="26" width="5.13"/>
    <col customWidth="1" min="27" max="27" width="5.88"/>
    <col customWidth="1" min="28" max="28" width="5.0"/>
    <col customWidth="1" min="29" max="32" width="5.13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5"/>
      <c r="P1" s="5"/>
      <c r="Q1" s="4"/>
      <c r="R1" s="4"/>
      <c r="W1" s="7"/>
      <c r="X1" s="7"/>
      <c r="Y1" s="7"/>
      <c r="Z1" s="7"/>
      <c r="AA1" s="7"/>
    </row>
    <row r="2">
      <c r="A2" s="8" t="s">
        <v>1</v>
      </c>
      <c r="B2" s="9" t="s">
        <v>2</v>
      </c>
      <c r="C2" s="10" t="s">
        <v>3</v>
      </c>
      <c r="D2" s="10" t="s">
        <v>4</v>
      </c>
      <c r="E2" s="11" t="s">
        <v>5</v>
      </c>
      <c r="F2" s="12"/>
      <c r="G2" s="13"/>
      <c r="H2" s="10" t="s">
        <v>4</v>
      </c>
      <c r="I2" s="10" t="s">
        <v>6</v>
      </c>
      <c r="J2" s="11" t="s">
        <v>7</v>
      </c>
      <c r="K2" s="13"/>
      <c r="L2" s="14" t="s">
        <v>8</v>
      </c>
      <c r="M2" s="5" t="s">
        <v>9</v>
      </c>
      <c r="N2" s="6" t="s">
        <v>10</v>
      </c>
      <c r="O2" s="5" t="s">
        <v>11</v>
      </c>
      <c r="P2" s="5" t="s">
        <v>12</v>
      </c>
      <c r="Q2" s="4"/>
      <c r="R2" s="4"/>
      <c r="T2" s="15" t="s">
        <v>13</v>
      </c>
      <c r="U2" s="15" t="s">
        <v>14</v>
      </c>
      <c r="V2" s="16" t="s">
        <v>15</v>
      </c>
      <c r="W2" s="17" t="s">
        <v>16</v>
      </c>
      <c r="X2" s="17" t="s">
        <v>17</v>
      </c>
      <c r="Y2" s="17" t="s">
        <v>18</v>
      </c>
      <c r="Z2" s="17" t="s">
        <v>19</v>
      </c>
      <c r="AA2" s="17" t="s">
        <v>20</v>
      </c>
      <c r="AB2" s="18"/>
      <c r="AC2" s="18"/>
      <c r="AD2" s="18"/>
      <c r="AE2" s="18"/>
      <c r="AF2" s="18"/>
      <c r="AG2" s="18" t="s">
        <v>21</v>
      </c>
      <c r="AH2" s="18" t="s">
        <v>22</v>
      </c>
      <c r="AI2" s="18" t="s">
        <v>23</v>
      </c>
      <c r="AJ2" s="18" t="s">
        <v>24</v>
      </c>
      <c r="AK2" s="18" t="s">
        <v>25</v>
      </c>
      <c r="AL2" s="18" t="s">
        <v>26</v>
      </c>
      <c r="AM2" s="18" t="s">
        <v>27</v>
      </c>
      <c r="AN2" s="18" t="s">
        <v>28</v>
      </c>
      <c r="AO2" s="18"/>
      <c r="AP2" s="18"/>
    </row>
    <row r="3">
      <c r="A3" s="19">
        <f t="shared" ref="A3:A30" si="2">WEEKNUM(B3)-39</f>
        <v>1</v>
      </c>
      <c r="B3" s="20">
        <v>46294.0</v>
      </c>
      <c r="C3" s="21">
        <v>1.0</v>
      </c>
      <c r="D3" s="21">
        <f t="shared" ref="D3:D30" si="3">countif(E$3:G3,E3)</f>
        <v>1</v>
      </c>
      <c r="E3" s="22" t="str">
        <f>T3</f>
        <v>I/M LPB</v>
      </c>
      <c r="F3" s="23" t="s">
        <v>29</v>
      </c>
      <c r="G3" s="23" t="str">
        <f>T4</f>
        <v>Fac 6.</v>
      </c>
      <c r="H3" s="21">
        <f t="shared" ref="H3:H30" si="4">countif(E$3:G3,G3)</f>
        <v>1</v>
      </c>
      <c r="I3" s="24">
        <v>0.71875</v>
      </c>
      <c r="J3" s="25"/>
      <c r="K3" s="25"/>
      <c r="L3" s="26"/>
      <c r="M3" s="5"/>
      <c r="N3" s="6"/>
      <c r="O3" s="5"/>
      <c r="P3" s="5"/>
      <c r="Q3" s="27" t="str">
        <f t="shared" ref="Q3:Q30" si="5">IF(J3="","",IF(J3-K3&gt;0,"W",IF(J3-K3&lt;0,"L","D")))</f>
        <v/>
      </c>
      <c r="R3" s="28" t="str">
        <f t="shared" ref="R3:R30" si="6">IF(Q3&lt;&gt;"","P","")</f>
        <v/>
      </c>
      <c r="T3" s="29" t="s">
        <v>30</v>
      </c>
      <c r="U3" s="30">
        <f t="shared" ref="U3:U10" si="7">COUNTIF($E$3:$G$30,T3)</f>
        <v>7</v>
      </c>
      <c r="V3" s="31" t="s">
        <v>31</v>
      </c>
      <c r="W3" s="17" t="s">
        <v>32</v>
      </c>
      <c r="X3" s="17"/>
      <c r="Y3" s="32"/>
      <c r="Z3" s="17" t="s">
        <v>32</v>
      </c>
      <c r="AA3" s="17" t="s">
        <v>32</v>
      </c>
      <c r="AG3" s="33" t="str">
        <f t="shared" ref="AG3:AN3" si="1">if(or($E3=AG$2,AG$2=$G3),weeknum($B3,1),"")</f>
        <v/>
      </c>
      <c r="AH3" s="33" t="str">
        <f t="shared" si="1"/>
        <v/>
      </c>
      <c r="AI3" s="33" t="str">
        <f t="shared" si="1"/>
        <v/>
      </c>
      <c r="AJ3" s="33" t="str">
        <f t="shared" si="1"/>
        <v/>
      </c>
      <c r="AK3" s="33" t="str">
        <f t="shared" si="1"/>
        <v/>
      </c>
      <c r="AL3" s="33" t="str">
        <f t="shared" si="1"/>
        <v/>
      </c>
      <c r="AM3" s="33" t="str">
        <f t="shared" si="1"/>
        <v/>
      </c>
      <c r="AN3" s="33" t="str">
        <f t="shared" si="1"/>
        <v/>
      </c>
    </row>
    <row r="4">
      <c r="A4" s="19">
        <f t="shared" si="2"/>
        <v>1</v>
      </c>
      <c r="B4" s="20">
        <v>46295.0</v>
      </c>
      <c r="C4" s="21">
        <v>2.0</v>
      </c>
      <c r="D4" s="21">
        <f t="shared" si="3"/>
        <v>1</v>
      </c>
      <c r="E4" s="34" t="str">
        <f>T10</f>
        <v>Staff LPB</v>
      </c>
      <c r="F4" s="23" t="s">
        <v>29</v>
      </c>
      <c r="G4" s="23" t="str">
        <f>T8</f>
        <v>PRESS UNITED</v>
      </c>
      <c r="H4" s="21">
        <f t="shared" si="4"/>
        <v>1</v>
      </c>
      <c r="I4" s="24">
        <v>0.71875</v>
      </c>
      <c r="J4" s="25"/>
      <c r="K4" s="25"/>
      <c r="L4" s="26"/>
      <c r="M4" s="5"/>
      <c r="N4" s="6"/>
      <c r="O4" s="5"/>
      <c r="P4" s="5"/>
      <c r="Q4" s="27" t="str">
        <f t="shared" si="5"/>
        <v/>
      </c>
      <c r="R4" s="28" t="str">
        <f t="shared" si="6"/>
        <v/>
      </c>
      <c r="T4" s="35" t="s">
        <v>33</v>
      </c>
      <c r="U4" s="30">
        <f t="shared" si="7"/>
        <v>7</v>
      </c>
      <c r="V4" s="36" t="s">
        <v>34</v>
      </c>
      <c r="W4" s="17" t="s">
        <v>32</v>
      </c>
      <c r="X4" s="17"/>
      <c r="Y4" s="32"/>
      <c r="Z4" s="17" t="s">
        <v>32</v>
      </c>
      <c r="AA4" s="17" t="s">
        <v>32</v>
      </c>
      <c r="AG4" s="33" t="str">
        <f t="shared" ref="AG4:AN4" si="8">if(or($E4=AG$2,AG$2=$G4),weeknum($B4,1),"")</f>
        <v/>
      </c>
      <c r="AH4" s="33" t="str">
        <f t="shared" si="8"/>
        <v/>
      </c>
      <c r="AI4" s="33" t="str">
        <f t="shared" si="8"/>
        <v/>
      </c>
      <c r="AJ4" s="33" t="str">
        <f t="shared" si="8"/>
        <v/>
      </c>
      <c r="AK4" s="33" t="str">
        <f t="shared" si="8"/>
        <v/>
      </c>
      <c r="AL4" s="33" t="str">
        <f t="shared" si="8"/>
        <v/>
      </c>
      <c r="AM4" s="33" t="str">
        <f t="shared" si="8"/>
        <v/>
      </c>
      <c r="AN4" s="33" t="str">
        <f t="shared" si="8"/>
        <v/>
      </c>
    </row>
    <row r="5">
      <c r="A5" s="19">
        <f t="shared" si="2"/>
        <v>1</v>
      </c>
      <c r="B5" s="20">
        <v>46296.0</v>
      </c>
      <c r="C5" s="21">
        <v>3.0</v>
      </c>
      <c r="D5" s="21">
        <f t="shared" si="3"/>
        <v>1</v>
      </c>
      <c r="E5" s="22" t="str">
        <f>T5</f>
        <v>PLANT MAINTENANCE FC. </v>
      </c>
      <c r="F5" s="23" t="s">
        <v>29</v>
      </c>
      <c r="G5" s="23" t="str">
        <f>T7</f>
        <v>H&amp;O</v>
      </c>
      <c r="H5" s="21">
        <f t="shared" si="4"/>
        <v>1</v>
      </c>
      <c r="I5" s="24">
        <v>0.71875</v>
      </c>
      <c r="J5" s="25"/>
      <c r="K5" s="25"/>
      <c r="L5" s="26"/>
      <c r="M5" s="5"/>
      <c r="N5" s="6"/>
      <c r="O5" s="5"/>
      <c r="P5" s="5"/>
      <c r="Q5" s="27" t="str">
        <f t="shared" si="5"/>
        <v/>
      </c>
      <c r="R5" s="28" t="str">
        <f t="shared" si="6"/>
        <v/>
      </c>
      <c r="T5" s="29" t="s">
        <v>35</v>
      </c>
      <c r="U5" s="30">
        <f t="shared" si="7"/>
        <v>7</v>
      </c>
      <c r="V5" s="37" t="s">
        <v>36</v>
      </c>
      <c r="W5" s="17" t="s">
        <v>32</v>
      </c>
      <c r="X5" s="17"/>
      <c r="Y5" s="32"/>
      <c r="Z5" s="17" t="s">
        <v>32</v>
      </c>
      <c r="AA5" s="17" t="s">
        <v>32</v>
      </c>
      <c r="AG5" s="33" t="str">
        <f t="shared" ref="AG5:AN5" si="9">if(or($E5=AG$2,AG$2=$G5),weeknum($B5,1),"")</f>
        <v/>
      </c>
      <c r="AH5" s="33" t="str">
        <f t="shared" si="9"/>
        <v/>
      </c>
      <c r="AI5" s="33" t="str">
        <f t="shared" si="9"/>
        <v/>
      </c>
      <c r="AJ5" s="33" t="str">
        <f t="shared" si="9"/>
        <v/>
      </c>
      <c r="AK5" s="33" t="str">
        <f t="shared" si="9"/>
        <v/>
      </c>
      <c r="AL5" s="33" t="str">
        <f t="shared" si="9"/>
        <v/>
      </c>
      <c r="AM5" s="33" t="str">
        <f t="shared" si="9"/>
        <v/>
      </c>
      <c r="AN5" s="33" t="str">
        <f t="shared" si="9"/>
        <v/>
      </c>
    </row>
    <row r="6">
      <c r="A6" s="19">
        <f t="shared" si="2"/>
        <v>2</v>
      </c>
      <c r="B6" s="20">
        <v>46301.0</v>
      </c>
      <c r="C6" s="21">
        <v>4.0</v>
      </c>
      <c r="D6" s="21">
        <f t="shared" si="3"/>
        <v>1</v>
      </c>
      <c r="E6" s="22" t="str">
        <f>T9</f>
        <v>ROD END FC</v>
      </c>
      <c r="F6" s="23" t="s">
        <v>29</v>
      </c>
      <c r="G6" s="23" t="str">
        <f>T6</f>
        <v>STM</v>
      </c>
      <c r="H6" s="21">
        <f t="shared" si="4"/>
        <v>1</v>
      </c>
      <c r="I6" s="24">
        <v>0.71875</v>
      </c>
      <c r="J6" s="25"/>
      <c r="K6" s="25"/>
      <c r="L6" s="26"/>
      <c r="M6" s="5"/>
      <c r="N6" s="6"/>
      <c r="O6" s="5"/>
      <c r="P6" s="5"/>
      <c r="Q6" s="27" t="str">
        <f t="shared" si="5"/>
        <v/>
      </c>
      <c r="R6" s="28" t="str">
        <f t="shared" si="6"/>
        <v/>
      </c>
      <c r="T6" s="30" t="s">
        <v>37</v>
      </c>
      <c r="U6" s="30">
        <f t="shared" si="7"/>
        <v>7</v>
      </c>
      <c r="V6" s="38" t="s">
        <v>38</v>
      </c>
      <c r="W6" s="17" t="s">
        <v>32</v>
      </c>
      <c r="X6" s="17"/>
      <c r="Y6" s="32"/>
      <c r="Z6" s="17" t="s">
        <v>32</v>
      </c>
      <c r="AA6" s="17" t="s">
        <v>32</v>
      </c>
      <c r="AG6" s="33" t="str">
        <f t="shared" ref="AG6:AN6" si="10">if(or($E6=AG$2,AG$2=$G6),weeknum($B6,1),"")</f>
        <v/>
      </c>
      <c r="AH6" s="33" t="str">
        <f t="shared" si="10"/>
        <v/>
      </c>
      <c r="AI6" s="33" t="str">
        <f t="shared" si="10"/>
        <v/>
      </c>
      <c r="AJ6" s="33" t="str">
        <f t="shared" si="10"/>
        <v/>
      </c>
      <c r="AK6" s="33" t="str">
        <f t="shared" si="10"/>
        <v/>
      </c>
      <c r="AL6" s="33" t="str">
        <f t="shared" si="10"/>
        <v/>
      </c>
      <c r="AM6" s="33" t="str">
        <f t="shared" si="10"/>
        <v/>
      </c>
      <c r="AN6" s="33" t="str">
        <f t="shared" si="10"/>
        <v/>
      </c>
    </row>
    <row r="7">
      <c r="A7" s="19">
        <f t="shared" si="2"/>
        <v>2</v>
      </c>
      <c r="B7" s="20">
        <v>46302.0</v>
      </c>
      <c r="C7" s="21">
        <v>5.0</v>
      </c>
      <c r="D7" s="21">
        <f t="shared" si="3"/>
        <v>2</v>
      </c>
      <c r="E7" s="22" t="str">
        <f>T3</f>
        <v>I/M LPB</v>
      </c>
      <c r="F7" s="23" t="s">
        <v>29</v>
      </c>
      <c r="G7" s="23" t="str">
        <f>T8</f>
        <v>PRESS UNITED</v>
      </c>
      <c r="H7" s="21">
        <f t="shared" si="4"/>
        <v>2</v>
      </c>
      <c r="I7" s="24">
        <v>0.71875</v>
      </c>
      <c r="J7" s="25"/>
      <c r="K7" s="25"/>
      <c r="L7" s="26"/>
      <c r="M7" s="5"/>
      <c r="N7" s="6"/>
      <c r="O7" s="5"/>
      <c r="P7" s="5"/>
      <c r="Q7" s="27" t="str">
        <f t="shared" si="5"/>
        <v/>
      </c>
      <c r="R7" s="28" t="str">
        <f t="shared" si="6"/>
        <v/>
      </c>
      <c r="T7" s="30" t="s">
        <v>39</v>
      </c>
      <c r="U7" s="30">
        <f t="shared" si="7"/>
        <v>7</v>
      </c>
      <c r="V7" s="39" t="s">
        <v>40</v>
      </c>
      <c r="W7" s="17" t="s">
        <v>32</v>
      </c>
      <c r="X7" s="17"/>
      <c r="Y7" s="32"/>
      <c r="Z7" s="17" t="s">
        <v>32</v>
      </c>
      <c r="AA7" s="17" t="s">
        <v>32</v>
      </c>
      <c r="AG7" s="33" t="str">
        <f t="shared" ref="AG7:AN7" si="11">if(or($E7=AG$2,AG$2=$G7),weeknum($B7,1),"")</f>
        <v/>
      </c>
      <c r="AH7" s="33" t="str">
        <f t="shared" si="11"/>
        <v/>
      </c>
      <c r="AI7" s="33" t="str">
        <f t="shared" si="11"/>
        <v/>
      </c>
      <c r="AJ7" s="33" t="str">
        <f t="shared" si="11"/>
        <v/>
      </c>
      <c r="AK7" s="33" t="str">
        <f t="shared" si="11"/>
        <v/>
      </c>
      <c r="AL7" s="33" t="str">
        <f t="shared" si="11"/>
        <v/>
      </c>
      <c r="AM7" s="33" t="str">
        <f t="shared" si="11"/>
        <v/>
      </c>
      <c r="AN7" s="33" t="str">
        <f t="shared" si="11"/>
        <v/>
      </c>
    </row>
    <row r="8">
      <c r="A8" s="19">
        <f t="shared" si="2"/>
        <v>2</v>
      </c>
      <c r="B8" s="20">
        <v>46303.0</v>
      </c>
      <c r="C8" s="21">
        <v>6.0</v>
      </c>
      <c r="D8" s="21">
        <f t="shared" si="3"/>
        <v>2</v>
      </c>
      <c r="E8" s="22" t="str">
        <f>T10</f>
        <v>Staff LPB</v>
      </c>
      <c r="F8" s="23" t="s">
        <v>29</v>
      </c>
      <c r="G8" s="23" t="str">
        <f t="shared" ref="G8:G9" si="13">T4</f>
        <v>Fac 6.</v>
      </c>
      <c r="H8" s="21">
        <f t="shared" si="4"/>
        <v>2</v>
      </c>
      <c r="I8" s="24">
        <v>0.71875</v>
      </c>
      <c r="J8" s="25"/>
      <c r="K8" s="25"/>
      <c r="L8" s="26"/>
      <c r="M8" s="5"/>
      <c r="N8" s="6"/>
      <c r="O8" s="5"/>
      <c r="P8" s="5"/>
      <c r="Q8" s="27" t="str">
        <f t="shared" si="5"/>
        <v/>
      </c>
      <c r="R8" s="28" t="str">
        <f t="shared" si="6"/>
        <v/>
      </c>
      <c r="T8" s="30" t="s">
        <v>41</v>
      </c>
      <c r="U8" s="30">
        <f t="shared" si="7"/>
        <v>7</v>
      </c>
      <c r="V8" s="40" t="s">
        <v>42</v>
      </c>
      <c r="W8" s="17" t="s">
        <v>32</v>
      </c>
      <c r="X8" s="17"/>
      <c r="Y8" s="32"/>
      <c r="Z8" s="17" t="s">
        <v>32</v>
      </c>
      <c r="AA8" s="17" t="s">
        <v>32</v>
      </c>
      <c r="AG8" s="33" t="str">
        <f t="shared" ref="AG8:AN8" si="12">if(or($E8=AG$2,AG$2=$G8),weeknum($B8,1),"")</f>
        <v/>
      </c>
      <c r="AH8" s="33" t="str">
        <f t="shared" si="12"/>
        <v/>
      </c>
      <c r="AI8" s="33" t="str">
        <f t="shared" si="12"/>
        <v/>
      </c>
      <c r="AJ8" s="33" t="str">
        <f t="shared" si="12"/>
        <v/>
      </c>
      <c r="AK8" s="33" t="str">
        <f t="shared" si="12"/>
        <v/>
      </c>
      <c r="AL8" s="33" t="str">
        <f t="shared" si="12"/>
        <v/>
      </c>
      <c r="AM8" s="33" t="str">
        <f t="shared" si="12"/>
        <v/>
      </c>
      <c r="AN8" s="33" t="str">
        <f t="shared" si="12"/>
        <v/>
      </c>
    </row>
    <row r="9">
      <c r="A9" s="19">
        <f t="shared" si="2"/>
        <v>3</v>
      </c>
      <c r="B9" s="20">
        <v>46310.0</v>
      </c>
      <c r="C9" s="21">
        <v>7.0</v>
      </c>
      <c r="D9" s="21">
        <f t="shared" si="3"/>
        <v>2</v>
      </c>
      <c r="E9" s="34" t="str">
        <f>T9</f>
        <v>ROD END FC</v>
      </c>
      <c r="F9" s="23" t="s">
        <v>29</v>
      </c>
      <c r="G9" s="23" t="str">
        <f t="shared" si="13"/>
        <v>PLANT MAINTENANCE FC. </v>
      </c>
      <c r="H9" s="21">
        <f t="shared" si="4"/>
        <v>2</v>
      </c>
      <c r="I9" s="24">
        <v>0.71875</v>
      </c>
      <c r="J9" s="25"/>
      <c r="K9" s="25"/>
      <c r="L9" s="26"/>
      <c r="M9" s="5"/>
      <c r="N9" s="6"/>
      <c r="O9" s="5"/>
      <c r="P9" s="5"/>
      <c r="Q9" s="27" t="str">
        <f t="shared" si="5"/>
        <v/>
      </c>
      <c r="R9" s="28" t="str">
        <f t="shared" si="6"/>
        <v/>
      </c>
      <c r="T9" s="30" t="s">
        <v>43</v>
      </c>
      <c r="U9" s="30">
        <f t="shared" si="7"/>
        <v>7</v>
      </c>
      <c r="V9" s="41" t="s">
        <v>44</v>
      </c>
      <c r="W9" s="17" t="s">
        <v>32</v>
      </c>
      <c r="X9" s="17"/>
      <c r="Y9" s="32"/>
      <c r="Z9" s="17" t="s">
        <v>32</v>
      </c>
      <c r="AA9" s="17" t="s">
        <v>32</v>
      </c>
      <c r="AG9" s="33" t="str">
        <f t="shared" ref="AG9:AN9" si="14">if(or($E9=AG$2,AG$2=$G9),weeknum($B9,1),"")</f>
        <v/>
      </c>
      <c r="AH9" s="33" t="str">
        <f t="shared" si="14"/>
        <v/>
      </c>
      <c r="AI9" s="33" t="str">
        <f t="shared" si="14"/>
        <v/>
      </c>
      <c r="AJ9" s="33" t="str">
        <f t="shared" si="14"/>
        <v/>
      </c>
      <c r="AK9" s="33" t="str">
        <f t="shared" si="14"/>
        <v/>
      </c>
      <c r="AL9" s="33" t="str">
        <f t="shared" si="14"/>
        <v/>
      </c>
      <c r="AM9" s="33" t="str">
        <f t="shared" si="14"/>
        <v/>
      </c>
      <c r="AN9" s="33" t="str">
        <f t="shared" si="14"/>
        <v/>
      </c>
    </row>
    <row r="10">
      <c r="A10" s="19">
        <f t="shared" si="2"/>
        <v>3</v>
      </c>
      <c r="B10" s="20">
        <v>46311.0</v>
      </c>
      <c r="C10" s="21">
        <v>8.0</v>
      </c>
      <c r="D10" s="21">
        <f t="shared" si="3"/>
        <v>2</v>
      </c>
      <c r="E10" s="22" t="str">
        <f>T6</f>
        <v>STM</v>
      </c>
      <c r="F10" s="23" t="s">
        <v>29</v>
      </c>
      <c r="G10" s="23" t="str">
        <f>T7</f>
        <v>H&amp;O</v>
      </c>
      <c r="H10" s="21">
        <f t="shared" si="4"/>
        <v>2</v>
      </c>
      <c r="I10" s="24">
        <v>0.71875</v>
      </c>
      <c r="J10" s="25"/>
      <c r="K10" s="25"/>
      <c r="L10" s="26"/>
      <c r="M10" s="5"/>
      <c r="N10" s="6"/>
      <c r="O10" s="5"/>
      <c r="P10" s="5"/>
      <c r="Q10" s="27" t="str">
        <f t="shared" si="5"/>
        <v/>
      </c>
      <c r="R10" s="28" t="str">
        <f t="shared" si="6"/>
        <v/>
      </c>
      <c r="T10" s="29" t="s">
        <v>45</v>
      </c>
      <c r="U10" s="30">
        <f t="shared" si="7"/>
        <v>7</v>
      </c>
      <c r="V10" s="42" t="s">
        <v>46</v>
      </c>
      <c r="W10" s="17" t="s">
        <v>32</v>
      </c>
      <c r="X10" s="17"/>
      <c r="Y10" s="32"/>
      <c r="Z10" s="17" t="s">
        <v>32</v>
      </c>
      <c r="AA10" s="17" t="s">
        <v>32</v>
      </c>
      <c r="AG10" s="33" t="str">
        <f t="shared" ref="AG10:AN10" si="15">if(or($E10=AG$2,AG$2=$G10),weeknum($B10,1),"")</f>
        <v/>
      </c>
      <c r="AH10" s="33" t="str">
        <f t="shared" si="15"/>
        <v/>
      </c>
      <c r="AI10" s="33" t="str">
        <f t="shared" si="15"/>
        <v/>
      </c>
      <c r="AJ10" s="33" t="str">
        <f t="shared" si="15"/>
        <v/>
      </c>
      <c r="AK10" s="33" t="str">
        <f t="shared" si="15"/>
        <v/>
      </c>
      <c r="AL10" s="33" t="str">
        <f t="shared" si="15"/>
        <v/>
      </c>
      <c r="AM10" s="33" t="str">
        <f t="shared" si="15"/>
        <v/>
      </c>
      <c r="AN10" s="33" t="str">
        <f t="shared" si="15"/>
        <v/>
      </c>
    </row>
    <row r="11">
      <c r="A11" s="19">
        <f t="shared" si="2"/>
        <v>4</v>
      </c>
      <c r="B11" s="20">
        <v>46315.0</v>
      </c>
      <c r="C11" s="21">
        <v>9.0</v>
      </c>
      <c r="D11" s="21">
        <f t="shared" si="3"/>
        <v>3</v>
      </c>
      <c r="E11" s="22" t="str">
        <f>T3</f>
        <v>I/M LPB</v>
      </c>
      <c r="F11" s="23" t="s">
        <v>29</v>
      </c>
      <c r="G11" s="23" t="str">
        <f>T10</f>
        <v>Staff LPB</v>
      </c>
      <c r="H11" s="21">
        <f t="shared" si="4"/>
        <v>3</v>
      </c>
      <c r="I11" s="24">
        <v>0.71875</v>
      </c>
      <c r="J11" s="25"/>
      <c r="K11" s="25"/>
      <c r="L11" s="26"/>
      <c r="M11" s="5"/>
      <c r="N11" s="6"/>
      <c r="O11" s="5"/>
      <c r="P11" s="5"/>
      <c r="Q11" s="27" t="str">
        <f t="shared" si="5"/>
        <v/>
      </c>
      <c r="R11" s="28" t="str">
        <f t="shared" si="6"/>
        <v/>
      </c>
      <c r="T11" s="43"/>
      <c r="V11" s="44"/>
      <c r="W11" s="7"/>
      <c r="X11" s="7"/>
      <c r="Y11" s="7"/>
      <c r="Z11" s="7"/>
      <c r="AA11" s="7"/>
      <c r="AG11" s="33" t="str">
        <f t="shared" ref="AG11:AN11" si="16">if(or($E11=AG$2,AG$2=$G11),weeknum($B11,1),"")</f>
        <v/>
      </c>
      <c r="AH11" s="33" t="str">
        <f t="shared" si="16"/>
        <v/>
      </c>
      <c r="AI11" s="33" t="str">
        <f t="shared" si="16"/>
        <v/>
      </c>
      <c r="AJ11" s="33" t="str">
        <f t="shared" si="16"/>
        <v/>
      </c>
      <c r="AK11" s="33" t="str">
        <f t="shared" si="16"/>
        <v/>
      </c>
      <c r="AL11" s="33" t="str">
        <f t="shared" si="16"/>
        <v/>
      </c>
      <c r="AM11" s="33" t="str">
        <f t="shared" si="16"/>
        <v/>
      </c>
      <c r="AN11" s="33" t="str">
        <f t="shared" si="16"/>
        <v/>
      </c>
    </row>
    <row r="12">
      <c r="A12" s="19">
        <f t="shared" si="2"/>
        <v>4</v>
      </c>
      <c r="B12" s="20">
        <v>46316.0</v>
      </c>
      <c r="C12" s="45">
        <v>10.0</v>
      </c>
      <c r="D12" s="21">
        <f t="shared" si="3"/>
        <v>3</v>
      </c>
      <c r="E12" s="22" t="str">
        <f>T9</f>
        <v>ROD END FC</v>
      </c>
      <c r="F12" s="23" t="s">
        <v>29</v>
      </c>
      <c r="G12" s="23" t="str">
        <f>T7</f>
        <v>H&amp;O</v>
      </c>
      <c r="H12" s="21">
        <f t="shared" si="4"/>
        <v>3</v>
      </c>
      <c r="I12" s="24">
        <v>0.71875</v>
      </c>
      <c r="J12" s="25"/>
      <c r="K12" s="25"/>
      <c r="L12" s="26"/>
      <c r="M12" s="5"/>
      <c r="N12" s="6"/>
      <c r="O12" s="5"/>
      <c r="P12" s="5"/>
      <c r="Q12" s="27" t="str">
        <f t="shared" si="5"/>
        <v/>
      </c>
      <c r="R12" s="28" t="str">
        <f t="shared" si="6"/>
        <v/>
      </c>
      <c r="T12" s="46"/>
      <c r="V12" s="47"/>
      <c r="W12" s="7"/>
      <c r="X12" s="7"/>
      <c r="Y12" s="7"/>
      <c r="Z12" s="7"/>
      <c r="AA12" s="7"/>
      <c r="AG12" s="33" t="str">
        <f t="shared" ref="AG12:AN12" si="17">if(or($E12=AG$2,AG$2=$G12),weeknum($B12,1),"")</f>
        <v/>
      </c>
      <c r="AH12" s="33" t="str">
        <f t="shared" si="17"/>
        <v/>
      </c>
      <c r="AI12" s="33" t="str">
        <f t="shared" si="17"/>
        <v/>
      </c>
      <c r="AJ12" s="33" t="str">
        <f t="shared" si="17"/>
        <v/>
      </c>
      <c r="AK12" s="33" t="str">
        <f t="shared" si="17"/>
        <v/>
      </c>
      <c r="AL12" s="33" t="str">
        <f t="shared" si="17"/>
        <v/>
      </c>
      <c r="AM12" s="33" t="str">
        <f t="shared" si="17"/>
        <v/>
      </c>
      <c r="AN12" s="33" t="str">
        <f t="shared" si="17"/>
        <v/>
      </c>
    </row>
    <row r="13">
      <c r="A13" s="19">
        <f t="shared" si="2"/>
        <v>5</v>
      </c>
      <c r="B13" s="20">
        <v>46322.0</v>
      </c>
      <c r="C13" s="45">
        <v>11.0</v>
      </c>
      <c r="D13" s="21">
        <f t="shared" si="3"/>
        <v>3</v>
      </c>
      <c r="E13" s="22" t="str">
        <f>T8</f>
        <v>PRESS UNITED</v>
      </c>
      <c r="F13" s="23" t="s">
        <v>29</v>
      </c>
      <c r="G13" s="23" t="str">
        <f t="shared" ref="G13:G14" si="19">T4</f>
        <v>Fac 6.</v>
      </c>
      <c r="H13" s="21">
        <f t="shared" si="4"/>
        <v>3</v>
      </c>
      <c r="I13" s="24">
        <v>0.71875</v>
      </c>
      <c r="J13" s="25"/>
      <c r="K13" s="25"/>
      <c r="L13" s="26"/>
      <c r="M13" s="5"/>
      <c r="N13" s="6"/>
      <c r="O13" s="5"/>
      <c r="P13" s="5"/>
      <c r="Q13" s="27" t="str">
        <f t="shared" si="5"/>
        <v/>
      </c>
      <c r="R13" s="28" t="str">
        <f t="shared" si="6"/>
        <v/>
      </c>
      <c r="T13" s="48"/>
      <c r="V13" s="48"/>
      <c r="W13" s="7"/>
      <c r="X13" s="7"/>
      <c r="Y13" s="7"/>
      <c r="Z13" s="7"/>
      <c r="AA13" s="7"/>
      <c r="AG13" s="33" t="str">
        <f t="shared" ref="AG13:AN13" si="18">if(or($E13=AG$2,AG$2=$G13),weeknum($B13,1),"")</f>
        <v/>
      </c>
      <c r="AH13" s="33" t="str">
        <f t="shared" si="18"/>
        <v/>
      </c>
      <c r="AI13" s="33" t="str">
        <f t="shared" si="18"/>
        <v/>
      </c>
      <c r="AJ13" s="33" t="str">
        <f t="shared" si="18"/>
        <v/>
      </c>
      <c r="AK13" s="33" t="str">
        <f t="shared" si="18"/>
        <v/>
      </c>
      <c r="AL13" s="33" t="str">
        <f t="shared" si="18"/>
        <v/>
      </c>
      <c r="AM13" s="33" t="str">
        <f t="shared" si="18"/>
        <v/>
      </c>
      <c r="AN13" s="33" t="str">
        <f t="shared" si="18"/>
        <v/>
      </c>
    </row>
    <row r="14">
      <c r="A14" s="19">
        <f t="shared" si="2"/>
        <v>5</v>
      </c>
      <c r="B14" s="20">
        <v>46323.0</v>
      </c>
      <c r="C14" s="45">
        <v>12.0</v>
      </c>
      <c r="D14" s="21">
        <f t="shared" si="3"/>
        <v>3</v>
      </c>
      <c r="E14" s="34" t="str">
        <f>T6</f>
        <v>STM</v>
      </c>
      <c r="F14" s="23" t="s">
        <v>29</v>
      </c>
      <c r="G14" s="23" t="str">
        <f t="shared" si="19"/>
        <v>PLANT MAINTENANCE FC. </v>
      </c>
      <c r="H14" s="21">
        <f t="shared" si="4"/>
        <v>3</v>
      </c>
      <c r="I14" s="24">
        <v>0.71875</v>
      </c>
      <c r="J14" s="25"/>
      <c r="K14" s="25"/>
      <c r="L14" s="26"/>
      <c r="M14" s="5"/>
      <c r="N14" s="6"/>
      <c r="O14" s="5"/>
      <c r="P14" s="5"/>
      <c r="Q14" s="27" t="str">
        <f t="shared" si="5"/>
        <v/>
      </c>
      <c r="R14" s="28" t="str">
        <f t="shared" si="6"/>
        <v/>
      </c>
      <c r="T14" s="48"/>
      <c r="V14" s="48"/>
      <c r="W14" s="7"/>
      <c r="X14" s="7"/>
      <c r="Y14" s="7"/>
      <c r="Z14" s="7"/>
      <c r="AA14" s="7"/>
      <c r="AG14" s="33" t="str">
        <f t="shared" ref="AG14:AN14" si="20">if(or($E14=AG$2,AG$2=$G14),weeknum($B14,1),"")</f>
        <v/>
      </c>
      <c r="AH14" s="33" t="str">
        <f t="shared" si="20"/>
        <v/>
      </c>
      <c r="AI14" s="33" t="str">
        <f t="shared" si="20"/>
        <v/>
      </c>
      <c r="AJ14" s="33" t="str">
        <f t="shared" si="20"/>
        <v/>
      </c>
      <c r="AK14" s="33" t="str">
        <f t="shared" si="20"/>
        <v/>
      </c>
      <c r="AL14" s="33" t="str">
        <f t="shared" si="20"/>
        <v/>
      </c>
      <c r="AM14" s="33" t="str">
        <f t="shared" si="20"/>
        <v/>
      </c>
      <c r="AN14" s="33" t="str">
        <f t="shared" si="20"/>
        <v/>
      </c>
    </row>
    <row r="15">
      <c r="A15" s="19">
        <f t="shared" si="2"/>
        <v>5</v>
      </c>
      <c r="B15" s="20">
        <v>46324.0</v>
      </c>
      <c r="C15" s="45">
        <v>13.0</v>
      </c>
      <c r="D15" s="21">
        <f t="shared" si="3"/>
        <v>4</v>
      </c>
      <c r="E15" s="22" t="str">
        <f>T3</f>
        <v>I/M LPB</v>
      </c>
      <c r="F15" s="23" t="s">
        <v>29</v>
      </c>
      <c r="G15" s="23" t="str">
        <f>T9</f>
        <v>ROD END FC</v>
      </c>
      <c r="H15" s="21">
        <f t="shared" si="4"/>
        <v>4</v>
      </c>
      <c r="I15" s="24">
        <v>0.71875</v>
      </c>
      <c r="J15" s="25"/>
      <c r="K15" s="25"/>
      <c r="L15" s="26"/>
      <c r="M15" s="5"/>
      <c r="N15" s="6"/>
      <c r="O15" s="5"/>
      <c r="P15" s="5"/>
      <c r="Q15" s="27" t="str">
        <f t="shared" si="5"/>
        <v/>
      </c>
      <c r="R15" s="28" t="str">
        <f t="shared" si="6"/>
        <v/>
      </c>
      <c r="T15" s="48" t="s">
        <v>47</v>
      </c>
      <c r="U15" s="18" t="s">
        <v>48</v>
      </c>
      <c r="V15" s="48" t="s">
        <v>49</v>
      </c>
      <c r="W15" s="7"/>
      <c r="X15" s="7"/>
      <c r="Y15" s="7"/>
      <c r="Z15" s="7"/>
      <c r="AA15" s="7"/>
      <c r="AG15" s="33" t="str">
        <f t="shared" ref="AG15:AN15" si="21">if(or($E15=AG$2,AG$2=$G15),weeknum($B15,1),"")</f>
        <v/>
      </c>
      <c r="AH15" s="33" t="str">
        <f t="shared" si="21"/>
        <v/>
      </c>
      <c r="AI15" s="33" t="str">
        <f t="shared" si="21"/>
        <v/>
      </c>
      <c r="AJ15" s="33" t="str">
        <f t="shared" si="21"/>
        <v/>
      </c>
      <c r="AK15" s="33" t="str">
        <f t="shared" si="21"/>
        <v/>
      </c>
      <c r="AL15" s="33" t="str">
        <f t="shared" si="21"/>
        <v/>
      </c>
      <c r="AM15" s="33" t="str">
        <f t="shared" si="21"/>
        <v/>
      </c>
      <c r="AN15" s="33" t="str">
        <f t="shared" si="21"/>
        <v/>
      </c>
    </row>
    <row r="16">
      <c r="A16" s="19">
        <f t="shared" si="2"/>
        <v>6</v>
      </c>
      <c r="B16" s="20">
        <v>46329.0</v>
      </c>
      <c r="C16" s="45">
        <v>14.0</v>
      </c>
      <c r="D16" s="21">
        <f t="shared" si="3"/>
        <v>4</v>
      </c>
      <c r="E16" s="22" t="str">
        <f>T10</f>
        <v>Staff LPB</v>
      </c>
      <c r="F16" s="23" t="s">
        <v>29</v>
      </c>
      <c r="G16" s="23" t="str">
        <f>T6</f>
        <v>STM</v>
      </c>
      <c r="H16" s="21">
        <f t="shared" si="4"/>
        <v>4</v>
      </c>
      <c r="I16" s="24">
        <v>0.71875</v>
      </c>
      <c r="J16" s="25"/>
      <c r="K16" s="25"/>
      <c r="L16" s="26"/>
      <c r="M16" s="5"/>
      <c r="N16" s="6"/>
      <c r="O16" s="5"/>
      <c r="P16" s="5"/>
      <c r="Q16" s="27" t="str">
        <f t="shared" si="5"/>
        <v/>
      </c>
      <c r="R16" s="28" t="str">
        <f t="shared" si="6"/>
        <v/>
      </c>
      <c r="T16" s="48">
        <v>8.0</v>
      </c>
      <c r="U16" s="49">
        <f t="shared" ref="U16:U18" si="23">T16*(T16-1)/2</f>
        <v>28</v>
      </c>
      <c r="V16" s="20">
        <v>46315.0</v>
      </c>
      <c r="W16" s="7"/>
      <c r="X16" s="7"/>
      <c r="Y16" s="7"/>
      <c r="Z16" s="7"/>
      <c r="AA16" s="7"/>
      <c r="AG16" s="33" t="str">
        <f t="shared" ref="AG16:AN16" si="22">if(or($E16=AG$2,AG$2=$G16),weeknum($B16,1),"")</f>
        <v/>
      </c>
      <c r="AH16" s="33" t="str">
        <f t="shared" si="22"/>
        <v/>
      </c>
      <c r="AI16" s="33" t="str">
        <f t="shared" si="22"/>
        <v/>
      </c>
      <c r="AJ16" s="33" t="str">
        <f t="shared" si="22"/>
        <v/>
      </c>
      <c r="AK16" s="33" t="str">
        <f t="shared" si="22"/>
        <v/>
      </c>
      <c r="AL16" s="33" t="str">
        <f t="shared" si="22"/>
        <v/>
      </c>
      <c r="AM16" s="33" t="str">
        <f t="shared" si="22"/>
        <v/>
      </c>
      <c r="AN16" s="33" t="str">
        <f t="shared" si="22"/>
        <v/>
      </c>
    </row>
    <row r="17">
      <c r="A17" s="19">
        <f t="shared" si="2"/>
        <v>6</v>
      </c>
      <c r="B17" s="20">
        <v>46330.0</v>
      </c>
      <c r="C17" s="45">
        <v>15.0</v>
      </c>
      <c r="D17" s="21">
        <f t="shared" si="3"/>
        <v>4</v>
      </c>
      <c r="E17" s="22" t="str">
        <f>T8</f>
        <v>PRESS UNITED</v>
      </c>
      <c r="F17" s="23" t="s">
        <v>29</v>
      </c>
      <c r="G17" s="23" t="str">
        <f>T5</f>
        <v>PLANT MAINTENANCE FC. </v>
      </c>
      <c r="H17" s="21">
        <f t="shared" si="4"/>
        <v>4</v>
      </c>
      <c r="I17" s="24">
        <v>0.71875</v>
      </c>
      <c r="J17" s="25"/>
      <c r="K17" s="25"/>
      <c r="L17" s="26"/>
      <c r="M17" s="5"/>
      <c r="N17" s="6"/>
      <c r="O17" s="5"/>
      <c r="P17" s="5"/>
      <c r="Q17" s="27" t="str">
        <f t="shared" si="5"/>
        <v/>
      </c>
      <c r="R17" s="28" t="str">
        <f t="shared" si="6"/>
        <v/>
      </c>
      <c r="T17" s="48">
        <v>9.0</v>
      </c>
      <c r="U17" s="49">
        <f t="shared" si="23"/>
        <v>36</v>
      </c>
      <c r="V17" s="20">
        <v>46294.0</v>
      </c>
      <c r="W17" s="7"/>
      <c r="X17" s="7"/>
      <c r="Y17" s="7"/>
      <c r="Z17" s="7"/>
      <c r="AA17" s="7"/>
      <c r="AG17" s="33" t="str">
        <f t="shared" ref="AG17:AN17" si="24">if(or($E17=AG$2,AG$2=$G17),weeknum($B17,1),"")</f>
        <v/>
      </c>
      <c r="AH17" s="33" t="str">
        <f t="shared" si="24"/>
        <v/>
      </c>
      <c r="AI17" s="33" t="str">
        <f t="shared" si="24"/>
        <v/>
      </c>
      <c r="AJ17" s="33" t="str">
        <f t="shared" si="24"/>
        <v/>
      </c>
      <c r="AK17" s="33" t="str">
        <f t="shared" si="24"/>
        <v/>
      </c>
      <c r="AL17" s="33" t="str">
        <f t="shared" si="24"/>
        <v/>
      </c>
      <c r="AM17" s="33" t="str">
        <f t="shared" si="24"/>
        <v/>
      </c>
      <c r="AN17" s="33" t="str">
        <f t="shared" si="24"/>
        <v/>
      </c>
    </row>
    <row r="18">
      <c r="A18" s="19">
        <f t="shared" si="2"/>
        <v>6</v>
      </c>
      <c r="B18" s="20">
        <v>46331.0</v>
      </c>
      <c r="C18" s="45">
        <v>16.0</v>
      </c>
      <c r="D18" s="21">
        <f t="shared" si="3"/>
        <v>4</v>
      </c>
      <c r="E18" s="22" t="str">
        <f>T4</f>
        <v>Fac 6.</v>
      </c>
      <c r="F18" s="23" t="s">
        <v>29</v>
      </c>
      <c r="G18" s="23" t="str">
        <f>T7</f>
        <v>H&amp;O</v>
      </c>
      <c r="H18" s="21">
        <f t="shared" si="4"/>
        <v>4</v>
      </c>
      <c r="I18" s="24">
        <v>0.71875</v>
      </c>
      <c r="J18" s="25"/>
      <c r="K18" s="25"/>
      <c r="L18" s="26"/>
      <c r="M18" s="5"/>
      <c r="N18" s="6"/>
      <c r="O18" s="5"/>
      <c r="P18" s="5"/>
      <c r="Q18" s="27" t="str">
        <f t="shared" si="5"/>
        <v/>
      </c>
      <c r="R18" s="28" t="str">
        <f t="shared" si="6"/>
        <v/>
      </c>
      <c r="S18" s="43"/>
      <c r="T18" s="48">
        <v>10.0</v>
      </c>
      <c r="U18" s="49">
        <f t="shared" si="23"/>
        <v>45</v>
      </c>
      <c r="V18" s="20">
        <v>46273.0</v>
      </c>
      <c r="W18" s="7"/>
      <c r="X18" s="7"/>
      <c r="Y18" s="7"/>
      <c r="Z18" s="7"/>
      <c r="AA18" s="7"/>
      <c r="AG18" s="33" t="str">
        <f t="shared" ref="AG18:AN18" si="25">if(or($E18=AG$2,AG$2=$G18),weeknum($B18,1),"")</f>
        <v/>
      </c>
      <c r="AH18" s="33" t="str">
        <f t="shared" si="25"/>
        <v/>
      </c>
      <c r="AI18" s="33" t="str">
        <f t="shared" si="25"/>
        <v/>
      </c>
      <c r="AJ18" s="33" t="str">
        <f t="shared" si="25"/>
        <v/>
      </c>
      <c r="AK18" s="33" t="str">
        <f t="shared" si="25"/>
        <v/>
      </c>
      <c r="AL18" s="33" t="str">
        <f t="shared" si="25"/>
        <v/>
      </c>
      <c r="AM18" s="33" t="str">
        <f t="shared" si="25"/>
        <v/>
      </c>
      <c r="AN18" s="33" t="str">
        <f t="shared" si="25"/>
        <v/>
      </c>
    </row>
    <row r="19">
      <c r="A19" s="19">
        <f t="shared" si="2"/>
        <v>7</v>
      </c>
      <c r="B19" s="20">
        <v>46336.0</v>
      </c>
      <c r="C19" s="45">
        <v>17.0</v>
      </c>
      <c r="D19" s="21">
        <f t="shared" si="3"/>
        <v>5</v>
      </c>
      <c r="E19" s="34" t="str">
        <f>T3</f>
        <v>I/M LPB</v>
      </c>
      <c r="F19" s="23" t="s">
        <v>29</v>
      </c>
      <c r="G19" s="23" t="str">
        <f>T6</f>
        <v>STM</v>
      </c>
      <c r="H19" s="21">
        <f t="shared" si="4"/>
        <v>5</v>
      </c>
      <c r="I19" s="24">
        <v>0.71875</v>
      </c>
      <c r="J19" s="25"/>
      <c r="K19" s="25"/>
      <c r="L19" s="26"/>
      <c r="M19" s="5"/>
      <c r="N19" s="6"/>
      <c r="O19" s="5"/>
      <c r="P19" s="5"/>
      <c r="Q19" s="27" t="str">
        <f t="shared" si="5"/>
        <v/>
      </c>
      <c r="R19" s="28" t="str">
        <f t="shared" si="6"/>
        <v/>
      </c>
      <c r="S19" s="43"/>
      <c r="T19" s="48"/>
      <c r="V19" s="48"/>
      <c r="W19" s="7"/>
      <c r="X19" s="7"/>
      <c r="Y19" s="7"/>
      <c r="Z19" s="7"/>
      <c r="AA19" s="7"/>
      <c r="AG19" s="33" t="str">
        <f t="shared" ref="AG19:AN19" si="26">if(or($E19=AG$2,AG$2=$G19),weeknum($B19,1),"")</f>
        <v/>
      </c>
      <c r="AH19" s="33" t="str">
        <f t="shared" si="26"/>
        <v/>
      </c>
      <c r="AI19" s="33" t="str">
        <f t="shared" si="26"/>
        <v/>
      </c>
      <c r="AJ19" s="33" t="str">
        <f t="shared" si="26"/>
        <v/>
      </c>
      <c r="AK19" s="33" t="str">
        <f t="shared" si="26"/>
        <v/>
      </c>
      <c r="AL19" s="33" t="str">
        <f t="shared" si="26"/>
        <v/>
      </c>
      <c r="AM19" s="33" t="str">
        <f t="shared" si="26"/>
        <v/>
      </c>
      <c r="AN19" s="33" t="str">
        <f t="shared" si="26"/>
        <v/>
      </c>
    </row>
    <row r="20">
      <c r="A20" s="19">
        <f t="shared" si="2"/>
        <v>7</v>
      </c>
      <c r="B20" s="20">
        <v>46337.0</v>
      </c>
      <c r="C20" s="45">
        <v>18.0</v>
      </c>
      <c r="D20" s="21">
        <f t="shared" si="3"/>
        <v>5</v>
      </c>
      <c r="E20" s="34" t="str">
        <f>T10</f>
        <v>Staff LPB</v>
      </c>
      <c r="F20" s="23" t="s">
        <v>29</v>
      </c>
      <c r="G20" s="23" t="str">
        <f>T5</f>
        <v>PLANT MAINTENANCE FC. </v>
      </c>
      <c r="H20" s="21">
        <f t="shared" si="4"/>
        <v>5</v>
      </c>
      <c r="I20" s="24">
        <v>0.71875</v>
      </c>
      <c r="J20" s="25"/>
      <c r="K20" s="25"/>
      <c r="L20" s="26"/>
      <c r="M20" s="5"/>
      <c r="N20" s="6"/>
      <c r="O20" s="5"/>
      <c r="P20" s="5"/>
      <c r="Q20" s="27" t="str">
        <f t="shared" si="5"/>
        <v/>
      </c>
      <c r="R20" s="28" t="str">
        <f t="shared" si="6"/>
        <v/>
      </c>
      <c r="S20" s="43"/>
      <c r="T20" s="48"/>
      <c r="V20" s="18"/>
      <c r="W20" s="7"/>
      <c r="X20" s="7"/>
      <c r="Y20" s="7"/>
      <c r="Z20" s="7"/>
      <c r="AA20" s="7"/>
      <c r="AG20" s="33" t="str">
        <f t="shared" ref="AG20:AN20" si="27">if(or($E20=AG$2,AG$2=$G20),weeknum($B20,1),"")</f>
        <v/>
      </c>
      <c r="AH20" s="33" t="str">
        <f t="shared" si="27"/>
        <v/>
      </c>
      <c r="AI20" s="33" t="str">
        <f t="shared" si="27"/>
        <v/>
      </c>
      <c r="AJ20" s="33" t="str">
        <f t="shared" si="27"/>
        <v/>
      </c>
      <c r="AK20" s="33" t="str">
        <f t="shared" si="27"/>
        <v/>
      </c>
      <c r="AL20" s="33" t="str">
        <f t="shared" si="27"/>
        <v/>
      </c>
      <c r="AM20" s="33" t="str">
        <f t="shared" si="27"/>
        <v/>
      </c>
      <c r="AN20" s="33" t="str">
        <f t="shared" si="27"/>
        <v/>
      </c>
    </row>
    <row r="21">
      <c r="A21" s="19">
        <f t="shared" si="2"/>
        <v>7</v>
      </c>
      <c r="B21" s="20">
        <v>46338.0</v>
      </c>
      <c r="C21" s="45">
        <v>19.0</v>
      </c>
      <c r="D21" s="21">
        <f t="shared" si="3"/>
        <v>5</v>
      </c>
      <c r="E21" s="22" t="str">
        <f>T8</f>
        <v>PRESS UNITED</v>
      </c>
      <c r="F21" s="23" t="s">
        <v>29</v>
      </c>
      <c r="G21" s="23" t="str">
        <f>T7</f>
        <v>H&amp;O</v>
      </c>
      <c r="H21" s="21">
        <f t="shared" si="4"/>
        <v>5</v>
      </c>
      <c r="I21" s="24">
        <v>0.71875</v>
      </c>
      <c r="J21" s="25"/>
      <c r="K21" s="25"/>
      <c r="L21" s="26"/>
      <c r="M21" s="5"/>
      <c r="N21" s="6"/>
      <c r="O21" s="5"/>
      <c r="P21" s="5"/>
      <c r="Q21" s="27" t="str">
        <f t="shared" si="5"/>
        <v/>
      </c>
      <c r="R21" s="28" t="str">
        <f t="shared" si="6"/>
        <v/>
      </c>
      <c r="S21" s="43"/>
      <c r="T21" s="50" t="s">
        <v>45</v>
      </c>
      <c r="U21" s="51" t="s">
        <v>46</v>
      </c>
      <c r="V21" s="18"/>
      <c r="W21" s="7"/>
      <c r="X21" s="7"/>
      <c r="Y21" s="7"/>
      <c r="Z21" s="7"/>
      <c r="AA21" s="7"/>
      <c r="AG21" s="33" t="str">
        <f t="shared" ref="AG21:AN21" si="28">if(or($E21=AG$2,AG$2=$G21),weeknum($B21,1),"")</f>
        <v/>
      </c>
      <c r="AH21" s="33" t="str">
        <f t="shared" si="28"/>
        <v/>
      </c>
      <c r="AI21" s="33" t="str">
        <f t="shared" si="28"/>
        <v/>
      </c>
      <c r="AJ21" s="33" t="str">
        <f t="shared" si="28"/>
        <v/>
      </c>
      <c r="AK21" s="33" t="str">
        <f t="shared" si="28"/>
        <v/>
      </c>
      <c r="AL21" s="33" t="str">
        <f t="shared" si="28"/>
        <v/>
      </c>
      <c r="AM21" s="33" t="str">
        <f t="shared" si="28"/>
        <v/>
      </c>
      <c r="AN21" s="33" t="str">
        <f t="shared" si="28"/>
        <v/>
      </c>
    </row>
    <row r="22">
      <c r="A22" s="19">
        <f t="shared" si="2"/>
        <v>8</v>
      </c>
      <c r="B22" s="20">
        <v>46343.0</v>
      </c>
      <c r="C22" s="45">
        <v>20.0</v>
      </c>
      <c r="D22" s="21">
        <f t="shared" si="3"/>
        <v>5</v>
      </c>
      <c r="E22" s="22" t="str">
        <f>T4</f>
        <v>Fac 6.</v>
      </c>
      <c r="F22" s="23" t="s">
        <v>29</v>
      </c>
      <c r="G22" s="23" t="str">
        <f>T9</f>
        <v>ROD END FC</v>
      </c>
      <c r="H22" s="21">
        <f t="shared" si="4"/>
        <v>5</v>
      </c>
      <c r="I22" s="24">
        <v>0.71875</v>
      </c>
      <c r="J22" s="25"/>
      <c r="K22" s="25"/>
      <c r="L22" s="26"/>
      <c r="M22" s="5"/>
      <c r="N22" s="6"/>
      <c r="O22" s="5"/>
      <c r="P22" s="5"/>
      <c r="Q22" s="27" t="str">
        <f t="shared" si="5"/>
        <v/>
      </c>
      <c r="R22" s="28" t="str">
        <f t="shared" si="6"/>
        <v/>
      </c>
      <c r="T22" s="50" t="s">
        <v>37</v>
      </c>
      <c r="U22" s="51" t="s">
        <v>38</v>
      </c>
      <c r="V22" s="52"/>
      <c r="W22" s="7"/>
      <c r="X22" s="7"/>
      <c r="Y22" s="7"/>
      <c r="Z22" s="7"/>
      <c r="AA22" s="7"/>
      <c r="AG22" s="33" t="str">
        <f t="shared" ref="AG22:AN22" si="29">if(or($E22=AG$2,AG$2=$G22),weeknum($B22,1),"")</f>
        <v/>
      </c>
      <c r="AH22" s="33" t="str">
        <f t="shared" si="29"/>
        <v/>
      </c>
      <c r="AI22" s="33" t="str">
        <f t="shared" si="29"/>
        <v/>
      </c>
      <c r="AJ22" s="33" t="str">
        <f t="shared" si="29"/>
        <v/>
      </c>
      <c r="AK22" s="33" t="str">
        <f t="shared" si="29"/>
        <v/>
      </c>
      <c r="AL22" s="33" t="str">
        <f t="shared" si="29"/>
        <v/>
      </c>
      <c r="AM22" s="33" t="str">
        <f t="shared" si="29"/>
        <v/>
      </c>
      <c r="AN22" s="33" t="str">
        <f t="shared" si="29"/>
        <v/>
      </c>
    </row>
    <row r="23">
      <c r="A23" s="19">
        <f t="shared" si="2"/>
        <v>8</v>
      </c>
      <c r="B23" s="20">
        <v>46344.0</v>
      </c>
      <c r="C23" s="45">
        <v>21.0</v>
      </c>
      <c r="D23" s="21">
        <f t="shared" si="3"/>
        <v>6</v>
      </c>
      <c r="E23" s="34" t="str">
        <f>T3</f>
        <v>I/M LPB</v>
      </c>
      <c r="F23" s="23" t="s">
        <v>29</v>
      </c>
      <c r="G23" s="23" t="str">
        <f>T5</f>
        <v>PLANT MAINTENANCE FC. </v>
      </c>
      <c r="H23" s="21">
        <f t="shared" si="4"/>
        <v>6</v>
      </c>
      <c r="I23" s="24">
        <v>0.71875</v>
      </c>
      <c r="J23" s="25"/>
      <c r="K23" s="25"/>
      <c r="L23" s="26"/>
      <c r="M23" s="5"/>
      <c r="N23" s="6"/>
      <c r="O23" s="5"/>
      <c r="P23" s="5"/>
      <c r="Q23" s="27" t="str">
        <f t="shared" si="5"/>
        <v/>
      </c>
      <c r="R23" s="28" t="str">
        <f t="shared" si="6"/>
        <v/>
      </c>
      <c r="S23" s="43"/>
      <c r="T23" s="50" t="s">
        <v>43</v>
      </c>
      <c r="U23" s="51" t="s">
        <v>44</v>
      </c>
      <c r="V23" s="18"/>
      <c r="W23" s="7"/>
      <c r="X23" s="7"/>
      <c r="Y23" s="7"/>
      <c r="Z23" s="7"/>
      <c r="AA23" s="7"/>
      <c r="AG23" s="33" t="str">
        <f t="shared" ref="AG23:AN23" si="30">if(or($E23=AG$2,AG$2=$G23),weeknum($B23,1),"")</f>
        <v/>
      </c>
      <c r="AH23" s="33" t="str">
        <f t="shared" si="30"/>
        <v/>
      </c>
      <c r="AI23" s="33" t="str">
        <f t="shared" si="30"/>
        <v/>
      </c>
      <c r="AJ23" s="33" t="str">
        <f t="shared" si="30"/>
        <v/>
      </c>
      <c r="AK23" s="33" t="str">
        <f t="shared" si="30"/>
        <v/>
      </c>
      <c r="AL23" s="33" t="str">
        <f t="shared" si="30"/>
        <v/>
      </c>
      <c r="AM23" s="33" t="str">
        <f t="shared" si="30"/>
        <v/>
      </c>
      <c r="AN23" s="33" t="str">
        <f t="shared" si="30"/>
        <v/>
      </c>
    </row>
    <row r="24">
      <c r="A24" s="19">
        <f t="shared" si="2"/>
        <v>8</v>
      </c>
      <c r="B24" s="20">
        <v>46345.0</v>
      </c>
      <c r="C24" s="45">
        <v>22.0</v>
      </c>
      <c r="D24" s="21">
        <f t="shared" si="3"/>
        <v>6</v>
      </c>
      <c r="E24" s="22" t="str">
        <f>T10</f>
        <v>Staff LPB</v>
      </c>
      <c r="F24" s="23" t="s">
        <v>29</v>
      </c>
      <c r="G24" s="23" t="str">
        <f>T7</f>
        <v>H&amp;O</v>
      </c>
      <c r="H24" s="21">
        <f t="shared" si="4"/>
        <v>6</v>
      </c>
      <c r="I24" s="24">
        <v>0.71875</v>
      </c>
      <c r="J24" s="25"/>
      <c r="K24" s="25"/>
      <c r="L24" s="26"/>
      <c r="M24" s="5"/>
      <c r="N24" s="6"/>
      <c r="O24" s="5"/>
      <c r="P24" s="5"/>
      <c r="Q24" s="27" t="str">
        <f t="shared" si="5"/>
        <v/>
      </c>
      <c r="R24" s="28" t="str">
        <f t="shared" si="6"/>
        <v/>
      </c>
      <c r="S24" s="43"/>
      <c r="T24" s="50" t="s">
        <v>30</v>
      </c>
      <c r="U24" s="51" t="s">
        <v>31</v>
      </c>
      <c r="V24" s="53"/>
      <c r="W24" s="7"/>
      <c r="X24" s="7"/>
      <c r="Y24" s="7"/>
      <c r="Z24" s="7"/>
      <c r="AA24" s="7"/>
      <c r="AG24" s="33" t="str">
        <f t="shared" ref="AG24:AN24" si="31">if(or($E24=AG$2,AG$2=$G24),weeknum($B24,1),"")</f>
        <v/>
      </c>
      <c r="AH24" s="33" t="str">
        <f t="shared" si="31"/>
        <v/>
      </c>
      <c r="AI24" s="33" t="str">
        <f t="shared" si="31"/>
        <v/>
      </c>
      <c r="AJ24" s="33" t="str">
        <f t="shared" si="31"/>
        <v/>
      </c>
      <c r="AK24" s="33" t="str">
        <f t="shared" si="31"/>
        <v/>
      </c>
      <c r="AL24" s="33" t="str">
        <f t="shared" si="31"/>
        <v/>
      </c>
      <c r="AM24" s="33" t="str">
        <f t="shared" si="31"/>
        <v/>
      </c>
      <c r="AN24" s="33" t="str">
        <f t="shared" si="31"/>
        <v/>
      </c>
    </row>
    <row r="25">
      <c r="A25" s="19">
        <f t="shared" si="2"/>
        <v>9</v>
      </c>
      <c r="B25" s="20">
        <v>46350.0</v>
      </c>
      <c r="C25" s="45">
        <v>23.0</v>
      </c>
      <c r="D25" s="21">
        <f t="shared" si="3"/>
        <v>6</v>
      </c>
      <c r="E25" s="22" t="str">
        <f>T8</f>
        <v>PRESS UNITED</v>
      </c>
      <c r="F25" s="23" t="s">
        <v>29</v>
      </c>
      <c r="G25" s="23" t="str">
        <f>T9</f>
        <v>ROD END FC</v>
      </c>
      <c r="H25" s="21">
        <f t="shared" si="4"/>
        <v>6</v>
      </c>
      <c r="I25" s="24">
        <v>0.71875</v>
      </c>
      <c r="J25" s="25"/>
      <c r="K25" s="25"/>
      <c r="L25" s="26"/>
      <c r="M25" s="5"/>
      <c r="N25" s="6"/>
      <c r="O25" s="5"/>
      <c r="P25" s="5"/>
      <c r="Q25" s="27" t="str">
        <f t="shared" si="5"/>
        <v/>
      </c>
      <c r="R25" s="28" t="str">
        <f t="shared" si="6"/>
        <v/>
      </c>
      <c r="S25" s="43"/>
      <c r="T25" s="50" t="s">
        <v>35</v>
      </c>
      <c r="U25" s="51" t="s">
        <v>36</v>
      </c>
      <c r="V25" s="53"/>
      <c r="W25" s="7"/>
      <c r="X25" s="7"/>
      <c r="Y25" s="7"/>
      <c r="Z25" s="7"/>
      <c r="AA25" s="7"/>
      <c r="AG25" s="33" t="str">
        <f t="shared" ref="AG25:AN25" si="32">if(or($E25=AG$2,AG$2=$G25),weeknum($B25,1),"")</f>
        <v/>
      </c>
      <c r="AH25" s="33" t="str">
        <f t="shared" si="32"/>
        <v/>
      </c>
      <c r="AI25" s="33" t="str">
        <f t="shared" si="32"/>
        <v/>
      </c>
      <c r="AJ25" s="33" t="str">
        <f t="shared" si="32"/>
        <v/>
      </c>
      <c r="AK25" s="33" t="str">
        <f t="shared" si="32"/>
        <v/>
      </c>
      <c r="AL25" s="33" t="str">
        <f t="shared" si="32"/>
        <v/>
      </c>
      <c r="AM25" s="33" t="str">
        <f t="shared" si="32"/>
        <v/>
      </c>
      <c r="AN25" s="33" t="str">
        <f t="shared" si="32"/>
        <v/>
      </c>
    </row>
    <row r="26">
      <c r="A26" s="19">
        <f t="shared" si="2"/>
        <v>9</v>
      </c>
      <c r="B26" s="20">
        <v>46351.0</v>
      </c>
      <c r="C26" s="45">
        <v>24.0</v>
      </c>
      <c r="D26" s="21">
        <f t="shared" si="3"/>
        <v>6</v>
      </c>
      <c r="E26" s="22" t="str">
        <f>T4</f>
        <v>Fac 6.</v>
      </c>
      <c r="F26" s="23" t="s">
        <v>29</v>
      </c>
      <c r="G26" s="23" t="str">
        <f t="shared" ref="G26:G27" si="34">T6</f>
        <v>STM</v>
      </c>
      <c r="H26" s="21">
        <f t="shared" si="4"/>
        <v>6</v>
      </c>
      <c r="I26" s="24">
        <v>0.71875</v>
      </c>
      <c r="J26" s="25"/>
      <c r="K26" s="25"/>
      <c r="L26" s="26"/>
      <c r="M26" s="5"/>
      <c r="N26" s="6"/>
      <c r="O26" s="5"/>
      <c r="P26" s="5"/>
      <c r="Q26" s="27" t="str">
        <f t="shared" si="5"/>
        <v/>
      </c>
      <c r="R26" s="28" t="str">
        <f t="shared" si="6"/>
        <v/>
      </c>
      <c r="S26" s="43"/>
      <c r="T26" s="26" t="s">
        <v>41</v>
      </c>
      <c r="U26" s="51" t="s">
        <v>42</v>
      </c>
      <c r="V26" s="48"/>
      <c r="W26" s="7"/>
      <c r="X26" s="7"/>
      <c r="Y26" s="7"/>
      <c r="Z26" s="7"/>
      <c r="AA26" s="7"/>
      <c r="AG26" s="33" t="str">
        <f t="shared" ref="AG26:AN26" si="33">if(or($E26=AG$2,AG$2=$G26),weeknum($B26,1),"")</f>
        <v/>
      </c>
      <c r="AH26" s="33" t="str">
        <f t="shared" si="33"/>
        <v/>
      </c>
      <c r="AI26" s="33" t="str">
        <f t="shared" si="33"/>
        <v/>
      </c>
      <c r="AJ26" s="33" t="str">
        <f t="shared" si="33"/>
        <v/>
      </c>
      <c r="AK26" s="33" t="str">
        <f t="shared" si="33"/>
        <v/>
      </c>
      <c r="AL26" s="33" t="str">
        <f t="shared" si="33"/>
        <v/>
      </c>
      <c r="AM26" s="33" t="str">
        <f t="shared" si="33"/>
        <v/>
      </c>
      <c r="AN26" s="33" t="str">
        <f t="shared" si="33"/>
        <v/>
      </c>
    </row>
    <row r="27">
      <c r="A27" s="19">
        <f t="shared" si="2"/>
        <v>9</v>
      </c>
      <c r="B27" s="20">
        <v>46352.0</v>
      </c>
      <c r="C27" s="45">
        <v>25.0</v>
      </c>
      <c r="D27" s="21">
        <f t="shared" si="3"/>
        <v>7</v>
      </c>
      <c r="E27" s="22" t="str">
        <f>T3</f>
        <v>I/M LPB</v>
      </c>
      <c r="F27" s="23" t="s">
        <v>29</v>
      </c>
      <c r="G27" s="23" t="str">
        <f t="shared" si="34"/>
        <v>H&amp;O</v>
      </c>
      <c r="H27" s="21">
        <f t="shared" si="4"/>
        <v>7</v>
      </c>
      <c r="I27" s="24">
        <v>0.71875</v>
      </c>
      <c r="J27" s="25"/>
      <c r="K27" s="25"/>
      <c r="L27" s="26"/>
      <c r="M27" s="5"/>
      <c r="N27" s="6"/>
      <c r="O27" s="5"/>
      <c r="P27" s="5"/>
      <c r="Q27" s="27" t="str">
        <f t="shared" si="5"/>
        <v/>
      </c>
      <c r="R27" s="28" t="str">
        <f t="shared" si="6"/>
        <v/>
      </c>
      <c r="S27" s="7"/>
      <c r="T27" s="26" t="s">
        <v>39</v>
      </c>
      <c r="U27" s="51" t="s">
        <v>40</v>
      </c>
      <c r="V27" s="48"/>
      <c r="W27" s="7"/>
      <c r="X27" s="7"/>
      <c r="Y27" s="7"/>
      <c r="Z27" s="7"/>
      <c r="AA27" s="7"/>
      <c r="AG27" s="33" t="str">
        <f t="shared" ref="AG27:AN27" si="35">if(or($E27=AG$2,AG$2=$G27),weeknum($B27,1),"")</f>
        <v/>
      </c>
      <c r="AH27" s="33" t="str">
        <f t="shared" si="35"/>
        <v/>
      </c>
      <c r="AI27" s="33" t="str">
        <f t="shared" si="35"/>
        <v/>
      </c>
      <c r="AJ27" s="33" t="str">
        <f t="shared" si="35"/>
        <v/>
      </c>
      <c r="AK27" s="33" t="str">
        <f t="shared" si="35"/>
        <v/>
      </c>
      <c r="AL27" s="33" t="str">
        <f t="shared" si="35"/>
        <v/>
      </c>
      <c r="AM27" s="33" t="str">
        <f t="shared" si="35"/>
        <v/>
      </c>
      <c r="AN27" s="33" t="str">
        <f t="shared" si="35"/>
        <v/>
      </c>
    </row>
    <row r="28">
      <c r="A28" s="19">
        <f t="shared" si="2"/>
        <v>10</v>
      </c>
      <c r="B28" s="20">
        <v>46357.0</v>
      </c>
      <c r="C28" s="45">
        <v>26.0</v>
      </c>
      <c r="D28" s="21">
        <f t="shared" si="3"/>
        <v>7</v>
      </c>
      <c r="E28" s="22" t="str">
        <f>T10</f>
        <v>Staff LPB</v>
      </c>
      <c r="F28" s="23" t="s">
        <v>29</v>
      </c>
      <c r="G28" s="23" t="str">
        <f>T9</f>
        <v>ROD END FC</v>
      </c>
      <c r="H28" s="21">
        <f t="shared" si="4"/>
        <v>7</v>
      </c>
      <c r="I28" s="24">
        <v>0.71875</v>
      </c>
      <c r="J28" s="25"/>
      <c r="K28" s="25"/>
      <c r="L28" s="26"/>
      <c r="M28" s="5"/>
      <c r="N28" s="6"/>
      <c r="O28" s="5"/>
      <c r="P28" s="5"/>
      <c r="Q28" s="27" t="str">
        <f t="shared" si="5"/>
        <v/>
      </c>
      <c r="R28" s="28" t="str">
        <f t="shared" si="6"/>
        <v/>
      </c>
      <c r="S28" s="43"/>
      <c r="T28" s="26" t="s">
        <v>33</v>
      </c>
      <c r="U28" s="51" t="s">
        <v>34</v>
      </c>
      <c r="V28" s="48"/>
      <c r="W28" s="43"/>
      <c r="X28" s="43"/>
      <c r="Y28" s="43"/>
      <c r="Z28" s="7"/>
      <c r="AA28" s="7"/>
      <c r="AG28" s="33" t="str">
        <f t="shared" ref="AG28:AN28" si="36">if(or($E28=AG$2,AG$2=$G28),weeknum($B28,1),"")</f>
        <v/>
      </c>
      <c r="AH28" s="33" t="str">
        <f t="shared" si="36"/>
        <v/>
      </c>
      <c r="AI28" s="33" t="str">
        <f t="shared" si="36"/>
        <v/>
      </c>
      <c r="AJ28" s="33" t="str">
        <f t="shared" si="36"/>
        <v/>
      </c>
      <c r="AK28" s="33" t="str">
        <f t="shared" si="36"/>
        <v/>
      </c>
      <c r="AL28" s="33" t="str">
        <f t="shared" si="36"/>
        <v/>
      </c>
      <c r="AM28" s="33" t="str">
        <f t="shared" si="36"/>
        <v/>
      </c>
      <c r="AN28" s="33" t="str">
        <f t="shared" si="36"/>
        <v/>
      </c>
    </row>
    <row r="29">
      <c r="A29" s="19">
        <f t="shared" si="2"/>
        <v>10</v>
      </c>
      <c r="B29" s="20">
        <v>46358.0</v>
      </c>
      <c r="C29" s="45">
        <v>27.0</v>
      </c>
      <c r="D29" s="21">
        <f t="shared" si="3"/>
        <v>7</v>
      </c>
      <c r="E29" s="34" t="str">
        <f>T8</f>
        <v>PRESS UNITED</v>
      </c>
      <c r="F29" s="23" t="s">
        <v>29</v>
      </c>
      <c r="G29" s="23" t="str">
        <f>T6</f>
        <v>STM</v>
      </c>
      <c r="H29" s="21">
        <f t="shared" si="4"/>
        <v>7</v>
      </c>
      <c r="I29" s="24">
        <v>0.71875</v>
      </c>
      <c r="J29" s="25"/>
      <c r="K29" s="25"/>
      <c r="L29" s="26"/>
      <c r="M29" s="5"/>
      <c r="N29" s="6"/>
      <c r="O29" s="5"/>
      <c r="P29" s="5"/>
      <c r="Q29" s="27" t="str">
        <f t="shared" si="5"/>
        <v/>
      </c>
      <c r="R29" s="28" t="str">
        <f t="shared" si="6"/>
        <v/>
      </c>
      <c r="S29" s="43"/>
      <c r="V29" s="48"/>
      <c r="W29" s="7"/>
      <c r="X29" s="7"/>
      <c r="Y29" s="7"/>
      <c r="Z29" s="7"/>
      <c r="AA29" s="7"/>
      <c r="AG29" s="33" t="str">
        <f t="shared" ref="AG29:AN29" si="37">if(or($E29=AG$2,AG$2=$G29),weeknum($B29,1),"")</f>
        <v/>
      </c>
      <c r="AH29" s="33" t="str">
        <f t="shared" si="37"/>
        <v/>
      </c>
      <c r="AI29" s="33" t="str">
        <f t="shared" si="37"/>
        <v/>
      </c>
      <c r="AJ29" s="33" t="str">
        <f t="shared" si="37"/>
        <v/>
      </c>
      <c r="AK29" s="33" t="str">
        <f t="shared" si="37"/>
        <v/>
      </c>
      <c r="AL29" s="33" t="str">
        <f t="shared" si="37"/>
        <v/>
      </c>
      <c r="AM29" s="33" t="str">
        <f t="shared" si="37"/>
        <v/>
      </c>
      <c r="AN29" s="33" t="str">
        <f t="shared" si="37"/>
        <v/>
      </c>
    </row>
    <row r="30">
      <c r="A30" s="19">
        <f t="shared" si="2"/>
        <v>10</v>
      </c>
      <c r="B30" s="20">
        <v>46359.0</v>
      </c>
      <c r="C30" s="45">
        <v>28.0</v>
      </c>
      <c r="D30" s="21">
        <f t="shared" si="3"/>
        <v>7</v>
      </c>
      <c r="E30" s="22" t="str">
        <f>T4</f>
        <v>Fac 6.</v>
      </c>
      <c r="F30" s="23" t="s">
        <v>29</v>
      </c>
      <c r="G30" s="23" t="str">
        <f>T5</f>
        <v>PLANT MAINTENANCE FC. </v>
      </c>
      <c r="H30" s="21">
        <f t="shared" si="4"/>
        <v>7</v>
      </c>
      <c r="I30" s="24">
        <v>0.71875</v>
      </c>
      <c r="J30" s="25"/>
      <c r="K30" s="25"/>
      <c r="L30" s="26"/>
      <c r="M30" s="5"/>
      <c r="N30" s="6"/>
      <c r="O30" s="5"/>
      <c r="P30" s="5"/>
      <c r="Q30" s="27" t="str">
        <f t="shared" si="5"/>
        <v/>
      </c>
      <c r="R30" s="28" t="str">
        <f t="shared" si="6"/>
        <v/>
      </c>
      <c r="S30" s="43"/>
      <c r="T30" s="54"/>
      <c r="V30" s="48"/>
      <c r="W30" s="7"/>
      <c r="X30" s="7"/>
      <c r="Y30" s="7"/>
      <c r="Z30" s="7"/>
      <c r="AA30" s="7"/>
      <c r="AG30" s="33" t="str">
        <f t="shared" ref="AG30:AN30" si="38">if(or($E30=AG$2,AG$2=$G30),weeknum($B30,1),"")</f>
        <v/>
      </c>
      <c r="AH30" s="33" t="str">
        <f t="shared" si="38"/>
        <v/>
      </c>
      <c r="AI30" s="33" t="str">
        <f t="shared" si="38"/>
        <v/>
      </c>
      <c r="AJ30" s="33" t="str">
        <f t="shared" si="38"/>
        <v/>
      </c>
      <c r="AK30" s="33" t="str">
        <f t="shared" si="38"/>
        <v/>
      </c>
      <c r="AL30" s="33" t="str">
        <f t="shared" si="38"/>
        <v/>
      </c>
      <c r="AM30" s="33" t="str">
        <f t="shared" si="38"/>
        <v/>
      </c>
      <c r="AN30" s="33" t="str">
        <f t="shared" si="38"/>
        <v/>
      </c>
    </row>
    <row r="31">
      <c r="A31" s="19"/>
      <c r="B31" s="20"/>
      <c r="C31" s="4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5"/>
      <c r="P31" s="5"/>
      <c r="Q31" s="27"/>
      <c r="R31" s="28"/>
      <c r="S31" s="43"/>
      <c r="V31" s="48"/>
      <c r="W31" s="7"/>
      <c r="X31" s="7"/>
      <c r="Y31" s="7"/>
      <c r="Z31" s="7"/>
      <c r="AA31" s="7"/>
      <c r="AG31" s="55" t="str">
        <f t="shared" ref="AG31:AN31" si="39">if(or($E31=AG$2,AG$2=$G31),B31,"")</f>
        <v/>
      </c>
      <c r="AH31" s="55" t="str">
        <f t="shared" si="39"/>
        <v/>
      </c>
      <c r="AI31" s="55" t="str">
        <f t="shared" si="39"/>
        <v/>
      </c>
      <c r="AJ31" s="55" t="str">
        <f t="shared" si="39"/>
        <v/>
      </c>
      <c r="AK31" s="55" t="str">
        <f t="shared" si="39"/>
        <v/>
      </c>
      <c r="AL31" s="55" t="str">
        <f t="shared" si="39"/>
        <v/>
      </c>
      <c r="AM31" s="55" t="str">
        <f t="shared" si="39"/>
        <v/>
      </c>
      <c r="AN31" s="55" t="str">
        <f t="shared" si="39"/>
        <v/>
      </c>
    </row>
    <row r="32">
      <c r="A32" s="19">
        <f t="shared" ref="A32:A40" si="40">WEEKNUM(B32)-39</f>
        <v>11</v>
      </c>
      <c r="B32" s="20">
        <v>46364.0</v>
      </c>
      <c r="C32" s="45">
        <v>29.0</v>
      </c>
      <c r="D32" s="56">
        <f t="shared" ref="D32:D38" si="41">countif(E$3:G32,E32)</f>
        <v>1</v>
      </c>
      <c r="E32" s="57">
        <v>1.0</v>
      </c>
      <c r="F32" s="58" t="s">
        <v>29</v>
      </c>
      <c r="G32" s="58" t="s">
        <v>50</v>
      </c>
      <c r="H32" s="56">
        <f t="shared" ref="H32:H38" si="42">countif(E$3:G32,G32)</f>
        <v>1</v>
      </c>
      <c r="I32" s="59">
        <v>0.71875</v>
      </c>
      <c r="J32" s="25"/>
      <c r="K32" s="25"/>
      <c r="L32" s="5"/>
      <c r="M32" s="5"/>
      <c r="N32" s="6"/>
      <c r="O32" s="5"/>
      <c r="P32" s="5"/>
      <c r="Q32" s="27" t="str">
        <f t="shared" ref="Q32:Q38" si="43">IF(J32="","",IF(J32-K32&gt;0,"W",IF(J32-K32&lt;0,"L","D")))</f>
        <v/>
      </c>
      <c r="R32" s="28" t="str">
        <f t="shared" ref="R32:R39" si="44">IF(Q32&lt;&gt;"","P","")</f>
        <v/>
      </c>
      <c r="S32" s="43"/>
      <c r="T32" s="54"/>
      <c r="V32" s="48"/>
      <c r="W32" s="7"/>
      <c r="X32" s="7"/>
      <c r="Y32" s="7"/>
      <c r="Z32" s="7"/>
      <c r="AA32" s="7"/>
      <c r="AG32" s="55"/>
      <c r="AH32" s="55"/>
      <c r="AI32" s="55"/>
      <c r="AJ32" s="55"/>
      <c r="AK32" s="55"/>
      <c r="AL32" s="55"/>
      <c r="AM32" s="55"/>
      <c r="AN32" s="55"/>
    </row>
    <row r="33">
      <c r="A33" s="19">
        <f t="shared" si="40"/>
        <v>11</v>
      </c>
      <c r="B33" s="20">
        <v>46365.0</v>
      </c>
      <c r="C33" s="45">
        <v>30.0</v>
      </c>
      <c r="D33" s="21">
        <f t="shared" si="41"/>
        <v>1</v>
      </c>
      <c r="E33" s="60">
        <v>4.0</v>
      </c>
      <c r="F33" s="61" t="s">
        <v>29</v>
      </c>
      <c r="G33" s="58" t="s">
        <v>50</v>
      </c>
      <c r="H33" s="21">
        <f t="shared" si="42"/>
        <v>2</v>
      </c>
      <c r="I33" s="24">
        <v>0.71875</v>
      </c>
      <c r="J33" s="25"/>
      <c r="K33" s="25"/>
      <c r="L33" s="5"/>
      <c r="M33" s="5"/>
      <c r="N33" s="6"/>
      <c r="O33" s="5"/>
      <c r="P33" s="5"/>
      <c r="Q33" s="27" t="str">
        <f t="shared" si="43"/>
        <v/>
      </c>
      <c r="R33" s="28" t="str">
        <f t="shared" si="44"/>
        <v/>
      </c>
      <c r="T33" s="54"/>
      <c r="V33" s="48"/>
      <c r="W33" s="7"/>
      <c r="X33" s="7"/>
      <c r="Y33" s="7"/>
      <c r="Z33" s="7"/>
      <c r="AA33" s="7"/>
      <c r="AG33" s="55"/>
      <c r="AH33" s="55"/>
      <c r="AI33" s="55"/>
      <c r="AJ33" s="55"/>
      <c r="AK33" s="55"/>
      <c r="AL33" s="55"/>
      <c r="AM33" s="55"/>
      <c r="AN33" s="55"/>
    </row>
    <row r="34">
      <c r="A34" s="19">
        <f t="shared" si="40"/>
        <v>11</v>
      </c>
      <c r="B34" s="20">
        <v>46366.0</v>
      </c>
      <c r="C34" s="45">
        <v>31.0</v>
      </c>
      <c r="D34" s="21">
        <f t="shared" si="41"/>
        <v>1</v>
      </c>
      <c r="E34" s="60">
        <v>2.0</v>
      </c>
      <c r="F34" s="61" t="s">
        <v>29</v>
      </c>
      <c r="G34" s="58" t="s">
        <v>50</v>
      </c>
      <c r="H34" s="21">
        <f t="shared" si="42"/>
        <v>3</v>
      </c>
      <c r="I34" s="24">
        <v>0.71875</v>
      </c>
      <c r="J34" s="25"/>
      <c r="K34" s="25"/>
      <c r="L34" s="5"/>
      <c r="M34" s="5"/>
      <c r="N34" s="6"/>
      <c r="O34" s="5"/>
      <c r="P34" s="5"/>
      <c r="Q34" s="27" t="str">
        <f t="shared" si="43"/>
        <v/>
      </c>
      <c r="R34" s="28" t="str">
        <f t="shared" si="44"/>
        <v/>
      </c>
      <c r="S34" s="7"/>
      <c r="T34" s="54"/>
      <c r="V34" s="48"/>
      <c r="W34" s="7"/>
      <c r="X34" s="7"/>
      <c r="Y34" s="7"/>
      <c r="Z34" s="7"/>
      <c r="AA34" s="7"/>
      <c r="AG34" s="55"/>
      <c r="AH34" s="55"/>
      <c r="AI34" s="55"/>
      <c r="AJ34" s="55"/>
      <c r="AK34" s="55"/>
      <c r="AL34" s="55"/>
      <c r="AM34" s="55"/>
      <c r="AN34" s="55"/>
    </row>
    <row r="35">
      <c r="A35" s="19">
        <f t="shared" si="40"/>
        <v>12</v>
      </c>
      <c r="B35" s="20">
        <v>46371.0</v>
      </c>
      <c r="C35" s="45">
        <v>32.0</v>
      </c>
      <c r="D35" s="21">
        <f t="shared" si="41"/>
        <v>1</v>
      </c>
      <c r="E35" s="60">
        <v>3.0</v>
      </c>
      <c r="F35" s="61" t="s">
        <v>29</v>
      </c>
      <c r="G35" s="58" t="s">
        <v>50</v>
      </c>
      <c r="H35" s="21">
        <f t="shared" si="42"/>
        <v>4</v>
      </c>
      <c r="I35" s="24">
        <v>0.71875</v>
      </c>
      <c r="J35" s="25"/>
      <c r="K35" s="25"/>
      <c r="L35" s="5"/>
      <c r="M35" s="5"/>
      <c r="N35" s="6"/>
      <c r="O35" s="5"/>
      <c r="P35" s="5"/>
      <c r="Q35" s="27" t="str">
        <f t="shared" si="43"/>
        <v/>
      </c>
      <c r="R35" s="28" t="str">
        <f t="shared" si="44"/>
        <v/>
      </c>
      <c r="S35" s="7"/>
      <c r="T35" s="54"/>
      <c r="V35" s="48"/>
      <c r="W35" s="7"/>
      <c r="X35" s="7"/>
      <c r="Y35" s="7"/>
      <c r="Z35" s="7"/>
      <c r="AA35" s="7"/>
      <c r="AG35" s="55"/>
      <c r="AH35" s="55"/>
      <c r="AI35" s="55"/>
      <c r="AJ35" s="55"/>
      <c r="AK35" s="55"/>
      <c r="AL35" s="55"/>
      <c r="AM35" s="55"/>
      <c r="AN35" s="55"/>
    </row>
    <row r="36">
      <c r="A36" s="19">
        <f t="shared" si="40"/>
        <v>12</v>
      </c>
      <c r="B36" s="20">
        <v>46372.0</v>
      </c>
      <c r="C36" s="45">
        <v>33.0</v>
      </c>
      <c r="D36" s="21">
        <f t="shared" si="41"/>
        <v>0</v>
      </c>
      <c r="E36" s="57"/>
      <c r="F36" s="61" t="s">
        <v>29</v>
      </c>
      <c r="G36" s="61"/>
      <c r="H36" s="21">
        <f t="shared" si="42"/>
        <v>0</v>
      </c>
      <c r="I36" s="24">
        <v>0.71875</v>
      </c>
      <c r="J36" s="25"/>
      <c r="K36" s="25"/>
      <c r="L36" s="5"/>
      <c r="M36" s="5"/>
      <c r="N36" s="6"/>
      <c r="O36" s="5"/>
      <c r="P36" s="5"/>
      <c r="Q36" s="27" t="str">
        <f t="shared" si="43"/>
        <v/>
      </c>
      <c r="R36" s="28" t="str">
        <f t="shared" si="44"/>
        <v/>
      </c>
      <c r="T36" s="54"/>
      <c r="V36" s="48"/>
      <c r="W36" s="7"/>
      <c r="X36" s="7"/>
      <c r="Y36" s="7"/>
      <c r="Z36" s="7"/>
      <c r="AA36" s="7"/>
      <c r="AG36" s="55"/>
      <c r="AH36" s="55"/>
      <c r="AI36" s="55"/>
      <c r="AJ36" s="55"/>
      <c r="AK36" s="55"/>
      <c r="AL36" s="55"/>
      <c r="AM36" s="55"/>
      <c r="AN36" s="55"/>
    </row>
    <row r="37">
      <c r="A37" s="19">
        <f t="shared" si="40"/>
        <v>12</v>
      </c>
      <c r="B37" s="20">
        <v>46373.0</v>
      </c>
      <c r="C37" s="45">
        <v>34.0</v>
      </c>
      <c r="D37" s="21">
        <f t="shared" si="41"/>
        <v>0</v>
      </c>
      <c r="E37" s="60"/>
      <c r="F37" s="61" t="s">
        <v>29</v>
      </c>
      <c r="G37" s="61"/>
      <c r="H37" s="21">
        <f t="shared" si="42"/>
        <v>0</v>
      </c>
      <c r="I37" s="24">
        <v>0.71875</v>
      </c>
      <c r="J37" s="25"/>
      <c r="K37" s="25"/>
      <c r="L37" s="5"/>
      <c r="M37" s="5"/>
      <c r="N37" s="6"/>
      <c r="O37" s="5"/>
      <c r="P37" s="5"/>
      <c r="Q37" s="27" t="str">
        <f t="shared" si="43"/>
        <v/>
      </c>
      <c r="R37" s="28" t="str">
        <f t="shared" si="44"/>
        <v/>
      </c>
      <c r="V37" s="48"/>
      <c r="W37" s="7"/>
      <c r="X37" s="7"/>
      <c r="Y37" s="7"/>
      <c r="Z37" s="7"/>
      <c r="AA37" s="7"/>
      <c r="AG37" s="55"/>
      <c r="AH37" s="55"/>
      <c r="AI37" s="55"/>
      <c r="AJ37" s="55"/>
      <c r="AK37" s="55"/>
      <c r="AL37" s="55"/>
      <c r="AM37" s="55"/>
      <c r="AN37" s="55"/>
    </row>
    <row r="38">
      <c r="A38" s="19">
        <f t="shared" si="40"/>
        <v>13</v>
      </c>
      <c r="B38" s="20">
        <v>46378.0</v>
      </c>
      <c r="C38" s="45">
        <v>35.0</v>
      </c>
      <c r="D38" s="21">
        <f t="shared" si="41"/>
        <v>0</v>
      </c>
      <c r="E38" s="60"/>
      <c r="F38" s="61" t="s">
        <v>29</v>
      </c>
      <c r="G38" s="61"/>
      <c r="H38" s="21">
        <f t="shared" si="42"/>
        <v>0</v>
      </c>
      <c r="I38" s="24">
        <v>0.71875</v>
      </c>
      <c r="J38" s="25"/>
      <c r="K38" s="25"/>
      <c r="L38" s="5"/>
      <c r="M38" s="5"/>
      <c r="N38" s="6"/>
      <c r="O38" s="5"/>
      <c r="P38" s="5"/>
      <c r="Q38" s="27" t="str">
        <f t="shared" si="43"/>
        <v/>
      </c>
      <c r="R38" s="28" t="str">
        <f t="shared" si="44"/>
        <v/>
      </c>
      <c r="V38" s="48"/>
      <c r="W38" s="7"/>
      <c r="X38" s="7"/>
      <c r="Y38" s="7"/>
      <c r="Z38" s="7"/>
      <c r="AA38" s="7"/>
      <c r="AG38" s="55"/>
      <c r="AH38" s="55"/>
      <c r="AI38" s="55"/>
      <c r="AJ38" s="55"/>
      <c r="AK38" s="55"/>
      <c r="AL38" s="55"/>
      <c r="AM38" s="55"/>
      <c r="AN38" s="55"/>
    </row>
    <row r="39">
      <c r="A39" s="19">
        <f t="shared" si="40"/>
        <v>13</v>
      </c>
      <c r="B39" s="20">
        <v>46379.0</v>
      </c>
      <c r="C39" s="45"/>
      <c r="L39" s="5"/>
      <c r="M39" s="5"/>
      <c r="N39" s="6"/>
      <c r="O39" s="5"/>
      <c r="P39" s="5"/>
      <c r="Q39" s="27" t="str">
        <f>IF(J40="","",IF(J40-K40&gt;0,"W",IF(J40-K40&lt;0,"L","D")))</f>
        <v/>
      </c>
      <c r="R39" s="28" t="str">
        <f t="shared" si="44"/>
        <v/>
      </c>
      <c r="V39" s="48"/>
      <c r="W39" s="7"/>
      <c r="X39" s="7"/>
      <c r="Y39" s="7"/>
      <c r="Z39" s="7"/>
      <c r="AA39" s="7"/>
      <c r="AG39" s="55"/>
      <c r="AH39" s="55"/>
      <c r="AI39" s="55"/>
      <c r="AJ39" s="55"/>
      <c r="AK39" s="55"/>
      <c r="AL39" s="55"/>
      <c r="AM39" s="55"/>
      <c r="AN39" s="55"/>
    </row>
    <row r="40">
      <c r="A40" s="19">
        <f t="shared" si="40"/>
        <v>13</v>
      </c>
      <c r="B40" s="20">
        <v>46380.0</v>
      </c>
      <c r="C40" s="45">
        <v>36.0</v>
      </c>
      <c r="D40" s="21">
        <f>countif(E$3:G40,E40)</f>
        <v>0</v>
      </c>
      <c r="E40" s="62"/>
      <c r="F40" s="23" t="s">
        <v>29</v>
      </c>
      <c r="G40" s="63"/>
      <c r="H40" s="21">
        <f>countif(E$3:G40,G40)</f>
        <v>0</v>
      </c>
      <c r="I40" s="24">
        <v>0.71875</v>
      </c>
      <c r="J40" s="25"/>
      <c r="K40" s="25"/>
      <c r="M40" s="5"/>
      <c r="N40" s="6"/>
      <c r="O40" s="5"/>
      <c r="P40" s="5"/>
      <c r="V40" s="48"/>
      <c r="W40" s="7"/>
      <c r="X40" s="7"/>
      <c r="Y40" s="7"/>
      <c r="Z40" s="7"/>
      <c r="AA40" s="7"/>
      <c r="AG40" s="55"/>
      <c r="AH40" s="55"/>
      <c r="AI40" s="55"/>
      <c r="AJ40" s="55"/>
      <c r="AK40" s="55"/>
      <c r="AL40" s="55"/>
      <c r="AM40" s="55"/>
      <c r="AN40" s="55"/>
    </row>
    <row r="41">
      <c r="B41" s="2"/>
      <c r="I41" s="64"/>
      <c r="M41" s="5"/>
      <c r="N41" s="6"/>
      <c r="O41" s="5"/>
      <c r="P41" s="5"/>
      <c r="V41" s="48"/>
      <c r="W41" s="7"/>
      <c r="X41" s="7"/>
      <c r="Y41" s="7"/>
      <c r="Z41" s="7"/>
      <c r="AA41" s="7"/>
    </row>
    <row r="42">
      <c r="B42" s="2"/>
      <c r="I42" s="64"/>
      <c r="M42" s="5"/>
      <c r="N42" s="6"/>
      <c r="O42" s="5"/>
      <c r="P42" s="5"/>
      <c r="V42" s="48"/>
      <c r="AG42" s="26"/>
      <c r="AH42" s="26"/>
      <c r="AI42" s="26"/>
      <c r="AJ42" s="26"/>
      <c r="AK42" s="26"/>
      <c r="AL42" s="26"/>
    </row>
    <row r="43">
      <c r="B43" s="2"/>
      <c r="I43" s="64"/>
      <c r="M43" s="5"/>
      <c r="N43" s="6"/>
      <c r="O43" s="5"/>
      <c r="P43" s="5"/>
      <c r="V43" s="48"/>
      <c r="AG43" s="26"/>
      <c r="AH43" s="26"/>
      <c r="AI43" s="26"/>
      <c r="AJ43" s="26"/>
      <c r="AK43" s="26"/>
      <c r="AL43" s="26"/>
    </row>
    <row r="44">
      <c r="B44" s="2"/>
      <c r="I44" s="64"/>
      <c r="M44" s="5"/>
      <c r="N44" s="6"/>
      <c r="O44" s="5"/>
      <c r="P44" s="5"/>
      <c r="AG44" s="26"/>
      <c r="AH44" s="26"/>
      <c r="AI44" s="26"/>
      <c r="AJ44" s="26"/>
      <c r="AK44" s="26"/>
      <c r="AL44" s="26"/>
    </row>
    <row r="45">
      <c r="B45" s="2"/>
      <c r="I45" s="64"/>
      <c r="M45" s="5"/>
      <c r="N45" s="6"/>
      <c r="O45" s="5"/>
      <c r="P45" s="5"/>
      <c r="AG45" s="26"/>
      <c r="AH45" s="26"/>
      <c r="AI45" s="26"/>
      <c r="AJ45" s="26"/>
      <c r="AK45" s="26"/>
      <c r="AL45" s="26"/>
    </row>
    <row r="46">
      <c r="B46" s="2"/>
      <c r="I46" s="65"/>
      <c r="M46" s="5"/>
      <c r="N46" s="6"/>
      <c r="O46" s="5"/>
      <c r="P46" s="5"/>
      <c r="W46" s="7"/>
      <c r="X46" s="7"/>
      <c r="Y46" s="7"/>
      <c r="Z46" s="7"/>
      <c r="AA46" s="7"/>
    </row>
    <row r="47">
      <c r="B47" s="2"/>
      <c r="I47" s="65"/>
      <c r="M47" s="5"/>
      <c r="N47" s="6"/>
      <c r="O47" s="5"/>
      <c r="P47" s="5"/>
      <c r="W47" s="7"/>
      <c r="X47" s="7"/>
      <c r="Y47" s="7"/>
      <c r="Z47" s="7"/>
      <c r="AA47" s="7"/>
    </row>
    <row r="48">
      <c r="B48" s="2"/>
      <c r="I48" s="65"/>
      <c r="M48" s="5"/>
      <c r="N48" s="6"/>
      <c r="O48" s="5"/>
      <c r="P48" s="5"/>
      <c r="W48" s="7"/>
      <c r="X48" s="7"/>
      <c r="Y48" s="7"/>
      <c r="Z48" s="7"/>
      <c r="AA48" s="7"/>
    </row>
    <row r="49">
      <c r="B49" s="2"/>
      <c r="I49" s="64"/>
      <c r="M49" s="5"/>
      <c r="N49" s="6"/>
      <c r="O49" s="5"/>
      <c r="P49" s="5"/>
      <c r="W49" s="7"/>
      <c r="X49" s="7"/>
      <c r="Y49" s="7"/>
      <c r="Z49" s="7"/>
      <c r="AA49" s="7"/>
    </row>
    <row r="50">
      <c r="B50" s="2"/>
      <c r="I50" s="64"/>
      <c r="M50" s="5"/>
      <c r="N50" s="6"/>
      <c r="O50" s="5"/>
      <c r="P50" s="5"/>
      <c r="W50" s="7"/>
      <c r="X50" s="7"/>
      <c r="Y50" s="7"/>
      <c r="Z50" s="7"/>
      <c r="AA50" s="7"/>
    </row>
    <row r="51">
      <c r="B51" s="2"/>
      <c r="C51" s="66"/>
      <c r="D51" s="67"/>
      <c r="E51" s="67"/>
      <c r="F51" s="68"/>
      <c r="G51" s="68"/>
      <c r="H51" s="67"/>
      <c r="I51" s="67"/>
      <c r="J51" s="69"/>
      <c r="M51" s="5"/>
      <c r="N51" s="6"/>
      <c r="O51" s="5"/>
      <c r="P51" s="5"/>
      <c r="W51" s="7"/>
      <c r="X51" s="7"/>
      <c r="Y51" s="7"/>
      <c r="Z51" s="7"/>
      <c r="AA51" s="7"/>
    </row>
    <row r="52">
      <c r="B52" s="2"/>
      <c r="C52" s="66"/>
      <c r="D52" s="66"/>
      <c r="E52" s="67"/>
      <c r="F52" s="67"/>
      <c r="G52" s="67"/>
      <c r="H52" s="66"/>
      <c r="I52" s="70"/>
      <c r="J52" s="71"/>
      <c r="K52" s="71"/>
      <c r="M52" s="5"/>
      <c r="N52" s="6"/>
      <c r="O52" s="5"/>
      <c r="P52" s="5"/>
      <c r="W52" s="7"/>
      <c r="X52" s="7"/>
      <c r="Y52" s="7"/>
      <c r="Z52" s="7"/>
      <c r="AA52" s="7"/>
    </row>
    <row r="53">
      <c r="B53" s="2"/>
      <c r="C53" s="66"/>
      <c r="D53" s="66"/>
      <c r="E53" s="67"/>
      <c r="F53" s="67"/>
      <c r="G53" s="67"/>
      <c r="H53" s="66"/>
      <c r="I53" s="70"/>
      <c r="J53" s="71"/>
      <c r="K53" s="71"/>
      <c r="M53" s="5"/>
      <c r="N53" s="6"/>
      <c r="O53" s="5"/>
      <c r="P53" s="5"/>
      <c r="W53" s="7"/>
      <c r="X53" s="7"/>
      <c r="Y53" s="7"/>
      <c r="Z53" s="7"/>
      <c r="AA53" s="7"/>
    </row>
    <row r="54">
      <c r="B54" s="2"/>
      <c r="C54" s="66"/>
      <c r="D54" s="66"/>
      <c r="E54" s="67"/>
      <c r="F54" s="67"/>
      <c r="G54" s="67"/>
      <c r="H54" s="66"/>
      <c r="I54" s="70"/>
      <c r="J54" s="71"/>
      <c r="K54" s="71"/>
      <c r="M54" s="5"/>
      <c r="N54" s="6"/>
      <c r="O54" s="5"/>
      <c r="P54" s="5"/>
      <c r="W54" s="7"/>
      <c r="X54" s="7"/>
      <c r="Y54" s="7"/>
      <c r="Z54" s="7"/>
      <c r="AA54" s="7"/>
    </row>
    <row r="55">
      <c r="B55" s="2"/>
      <c r="C55" s="66"/>
      <c r="D55" s="66"/>
      <c r="E55" s="67"/>
      <c r="F55" s="67"/>
      <c r="G55" s="67"/>
      <c r="H55" s="66"/>
      <c r="I55" s="70"/>
      <c r="J55" s="71"/>
      <c r="K55" s="71"/>
      <c r="M55" s="5"/>
      <c r="N55" s="6"/>
      <c r="O55" s="5"/>
      <c r="P55" s="5"/>
      <c r="W55" s="7"/>
      <c r="X55" s="7"/>
      <c r="Y55" s="7"/>
      <c r="Z55" s="7"/>
      <c r="AA55" s="7"/>
    </row>
    <row r="56">
      <c r="B56" s="2"/>
      <c r="C56" s="66"/>
      <c r="D56" s="66"/>
      <c r="E56" s="67"/>
      <c r="F56" s="67"/>
      <c r="G56" s="67"/>
      <c r="H56" s="66"/>
      <c r="I56" s="70"/>
      <c r="J56" s="71"/>
      <c r="K56" s="71"/>
      <c r="M56" s="5"/>
      <c r="N56" s="6"/>
      <c r="O56" s="5"/>
      <c r="P56" s="5"/>
      <c r="W56" s="7"/>
      <c r="X56" s="7"/>
      <c r="Y56" s="7"/>
      <c r="Z56" s="7"/>
      <c r="AA56" s="7"/>
    </row>
    <row r="57">
      <c r="B57" s="2"/>
      <c r="C57" s="66"/>
      <c r="D57" s="66"/>
      <c r="E57" s="67"/>
      <c r="F57" s="67"/>
      <c r="G57" s="67"/>
      <c r="H57" s="66"/>
      <c r="I57" s="70"/>
      <c r="J57" s="71"/>
      <c r="K57" s="71"/>
      <c r="M57" s="5"/>
      <c r="N57" s="6"/>
      <c r="O57" s="5"/>
      <c r="P57" s="5"/>
      <c r="W57" s="7"/>
      <c r="X57" s="7"/>
      <c r="Y57" s="7"/>
      <c r="Z57" s="7"/>
      <c r="AA57" s="7"/>
    </row>
    <row r="58">
      <c r="B58" s="2"/>
      <c r="D58" s="66"/>
      <c r="E58" s="67"/>
      <c r="F58" s="67"/>
      <c r="G58" s="67"/>
      <c r="H58" s="66"/>
      <c r="I58" s="70"/>
      <c r="J58" s="71"/>
      <c r="K58" s="71"/>
      <c r="M58" s="5"/>
      <c r="N58" s="6"/>
      <c r="O58" s="5"/>
      <c r="P58" s="5"/>
      <c r="W58" s="7"/>
      <c r="X58" s="7"/>
      <c r="Y58" s="7"/>
      <c r="Z58" s="7"/>
      <c r="AA58" s="7"/>
    </row>
    <row r="59">
      <c r="B59" s="2"/>
      <c r="D59" s="66"/>
      <c r="E59" s="67"/>
      <c r="F59" s="67"/>
      <c r="G59" s="67"/>
      <c r="H59" s="66"/>
      <c r="I59" s="70"/>
      <c r="J59" s="71"/>
      <c r="K59" s="71"/>
      <c r="M59" s="5"/>
      <c r="N59" s="6"/>
      <c r="O59" s="5"/>
      <c r="P59" s="5"/>
      <c r="W59" s="7"/>
      <c r="X59" s="7"/>
      <c r="Y59" s="7"/>
      <c r="Z59" s="7"/>
      <c r="AA59" s="7"/>
    </row>
    <row r="60">
      <c r="B60" s="2"/>
      <c r="D60" s="66"/>
      <c r="E60" s="67"/>
      <c r="F60" s="67"/>
      <c r="G60" s="67"/>
      <c r="H60" s="66"/>
      <c r="I60" s="70"/>
      <c r="J60" s="71"/>
      <c r="K60" s="71"/>
      <c r="M60" s="5"/>
      <c r="N60" s="6"/>
      <c r="O60" s="5"/>
      <c r="P60" s="5"/>
      <c r="W60" s="7"/>
      <c r="X60" s="7"/>
      <c r="Y60" s="7"/>
      <c r="Z60" s="7"/>
      <c r="AA60" s="7"/>
    </row>
    <row r="61">
      <c r="B61" s="2"/>
      <c r="D61" s="66"/>
      <c r="E61" s="67"/>
      <c r="F61" s="67"/>
      <c r="G61" s="67"/>
      <c r="H61" s="66"/>
      <c r="I61" s="70"/>
      <c r="J61" s="71"/>
      <c r="K61" s="71"/>
      <c r="M61" s="5"/>
      <c r="N61" s="6"/>
      <c r="O61" s="5"/>
      <c r="P61" s="5"/>
      <c r="W61" s="7"/>
      <c r="X61" s="7"/>
      <c r="Y61" s="7"/>
      <c r="Z61" s="7"/>
      <c r="AA61" s="7"/>
    </row>
    <row r="62">
      <c r="B62" s="2"/>
      <c r="D62" s="66"/>
      <c r="E62" s="67"/>
      <c r="F62" s="67"/>
      <c r="G62" s="67"/>
      <c r="H62" s="66"/>
      <c r="I62" s="70"/>
      <c r="J62" s="71"/>
      <c r="K62" s="71"/>
      <c r="M62" s="5"/>
      <c r="N62" s="6"/>
      <c r="O62" s="5"/>
      <c r="P62" s="5"/>
      <c r="W62" s="7"/>
      <c r="X62" s="7"/>
      <c r="Y62" s="7"/>
      <c r="Z62" s="7"/>
      <c r="AA62" s="7"/>
    </row>
    <row r="63">
      <c r="B63" s="2"/>
      <c r="D63" s="66"/>
      <c r="E63" s="67"/>
      <c r="F63" s="67"/>
      <c r="G63" s="67"/>
      <c r="H63" s="66"/>
      <c r="I63" s="70"/>
      <c r="J63" s="71"/>
      <c r="K63" s="71"/>
      <c r="M63" s="5"/>
      <c r="N63" s="6"/>
      <c r="O63" s="5"/>
      <c r="P63" s="5"/>
      <c r="W63" s="7"/>
      <c r="X63" s="7"/>
      <c r="Y63" s="7"/>
      <c r="Z63" s="7"/>
      <c r="AA63" s="7"/>
    </row>
    <row r="64">
      <c r="B64" s="2"/>
      <c r="D64" s="66"/>
      <c r="E64" s="67"/>
      <c r="F64" s="67"/>
      <c r="G64" s="67"/>
      <c r="H64" s="66"/>
      <c r="I64" s="70"/>
      <c r="J64" s="71"/>
      <c r="K64" s="71"/>
      <c r="M64" s="5"/>
      <c r="N64" s="6"/>
      <c r="O64" s="5"/>
      <c r="P64" s="5"/>
      <c r="W64" s="7"/>
      <c r="X64" s="7"/>
      <c r="Y64" s="7"/>
      <c r="Z64" s="7"/>
      <c r="AA64" s="7"/>
    </row>
    <row r="65">
      <c r="B65" s="2"/>
      <c r="D65" s="66"/>
      <c r="E65" s="67"/>
      <c r="F65" s="67"/>
      <c r="G65" s="67"/>
      <c r="H65" s="66"/>
      <c r="I65" s="70"/>
      <c r="J65" s="71"/>
      <c r="K65" s="71"/>
      <c r="M65" s="5"/>
      <c r="N65" s="6"/>
      <c r="O65" s="5"/>
      <c r="P65" s="5"/>
      <c r="W65" s="7"/>
      <c r="X65" s="7"/>
      <c r="Y65" s="7"/>
      <c r="Z65" s="7"/>
      <c r="AA65" s="7"/>
    </row>
    <row r="66">
      <c r="B66" s="2"/>
      <c r="D66" s="66"/>
      <c r="E66" s="67"/>
      <c r="F66" s="67"/>
      <c r="G66" s="67"/>
      <c r="H66" s="66"/>
      <c r="I66" s="70"/>
      <c r="J66" s="71"/>
      <c r="K66" s="71"/>
      <c r="M66" s="5"/>
      <c r="N66" s="6"/>
      <c r="O66" s="5"/>
      <c r="P66" s="5"/>
      <c r="W66" s="7"/>
      <c r="X66" s="7"/>
      <c r="Y66" s="7"/>
      <c r="Z66" s="7"/>
      <c r="AA66" s="7"/>
    </row>
    <row r="67">
      <c r="B67" s="2"/>
      <c r="D67" s="66"/>
      <c r="E67" s="67"/>
      <c r="F67" s="67"/>
      <c r="G67" s="67"/>
      <c r="H67" s="66"/>
      <c r="I67" s="70"/>
      <c r="J67" s="71"/>
      <c r="K67" s="71"/>
      <c r="M67" s="5"/>
      <c r="N67" s="6"/>
      <c r="O67" s="5"/>
      <c r="P67" s="5"/>
      <c r="W67" s="7"/>
      <c r="X67" s="7"/>
      <c r="Y67" s="7"/>
      <c r="Z67" s="7"/>
      <c r="AA67" s="7"/>
    </row>
    <row r="68">
      <c r="D68" s="66"/>
      <c r="E68" s="67"/>
      <c r="F68" s="67"/>
      <c r="G68" s="67"/>
      <c r="H68" s="66"/>
      <c r="I68" s="70"/>
      <c r="J68" s="71"/>
      <c r="K68" s="71"/>
      <c r="M68" s="5"/>
      <c r="N68" s="6"/>
      <c r="O68" s="5"/>
      <c r="P68" s="5"/>
      <c r="W68" s="7"/>
      <c r="X68" s="7"/>
      <c r="Y68" s="7"/>
      <c r="Z68" s="7"/>
      <c r="AA68" s="7"/>
    </row>
    <row r="69">
      <c r="D69" s="66"/>
      <c r="E69" s="67"/>
      <c r="F69" s="67"/>
      <c r="G69" s="67"/>
      <c r="H69" s="66"/>
      <c r="I69" s="70"/>
      <c r="J69" s="71"/>
      <c r="K69" s="71"/>
      <c r="M69" s="5"/>
      <c r="N69" s="6"/>
      <c r="O69" s="5"/>
      <c r="P69" s="5"/>
      <c r="W69" s="7"/>
      <c r="X69" s="7"/>
      <c r="Y69" s="7"/>
      <c r="Z69" s="7"/>
      <c r="AA69" s="7"/>
    </row>
    <row r="70">
      <c r="D70" s="66"/>
      <c r="E70" s="67"/>
      <c r="F70" s="67"/>
      <c r="G70" s="67"/>
      <c r="H70" s="66"/>
      <c r="I70" s="70"/>
      <c r="J70" s="71"/>
      <c r="K70" s="71"/>
      <c r="M70" s="5"/>
      <c r="N70" s="6"/>
      <c r="O70" s="5"/>
      <c r="P70" s="5"/>
      <c r="W70" s="7"/>
      <c r="X70" s="7"/>
      <c r="Y70" s="7"/>
      <c r="Z70" s="7"/>
      <c r="AA70" s="7"/>
    </row>
    <row r="71">
      <c r="D71" s="66"/>
      <c r="E71" s="67"/>
      <c r="F71" s="67"/>
      <c r="G71" s="67"/>
      <c r="H71" s="66"/>
      <c r="I71" s="70"/>
      <c r="J71" s="71"/>
      <c r="K71" s="71"/>
      <c r="M71" s="5"/>
      <c r="N71" s="6"/>
      <c r="O71" s="5"/>
      <c r="P71" s="5"/>
      <c r="W71" s="7"/>
      <c r="X71" s="7"/>
      <c r="Y71" s="7"/>
      <c r="Z71" s="7"/>
      <c r="AA71" s="7"/>
    </row>
    <row r="72">
      <c r="D72" s="66"/>
      <c r="E72" s="67"/>
      <c r="F72" s="67"/>
      <c r="G72" s="67"/>
      <c r="H72" s="66"/>
      <c r="I72" s="70"/>
      <c r="J72" s="71"/>
      <c r="K72" s="71"/>
      <c r="M72" s="5"/>
      <c r="N72" s="6"/>
      <c r="O72" s="5"/>
      <c r="P72" s="5"/>
      <c r="W72" s="7"/>
      <c r="X72" s="7"/>
      <c r="Y72" s="7"/>
      <c r="Z72" s="7"/>
      <c r="AA72" s="7"/>
    </row>
    <row r="73">
      <c r="D73" s="66"/>
      <c r="E73" s="67"/>
      <c r="F73" s="67"/>
      <c r="G73" s="67"/>
      <c r="H73" s="66"/>
      <c r="I73" s="70"/>
      <c r="J73" s="71"/>
      <c r="K73" s="71"/>
      <c r="M73" s="5"/>
      <c r="N73" s="6"/>
      <c r="O73" s="5"/>
      <c r="P73" s="5"/>
      <c r="W73" s="7"/>
      <c r="X73" s="7"/>
      <c r="Y73" s="7"/>
      <c r="Z73" s="7"/>
      <c r="AA73" s="7"/>
    </row>
    <row r="74">
      <c r="D74" s="66"/>
      <c r="E74" s="67"/>
      <c r="F74" s="67"/>
      <c r="G74" s="67"/>
      <c r="H74" s="66"/>
      <c r="I74" s="70"/>
      <c r="J74" s="71"/>
      <c r="K74" s="71"/>
      <c r="M74" s="5"/>
      <c r="N74" s="6"/>
      <c r="O74" s="5"/>
      <c r="P74" s="5"/>
      <c r="W74" s="7"/>
      <c r="X74" s="7"/>
      <c r="Y74" s="7"/>
      <c r="Z74" s="7"/>
      <c r="AA74" s="7"/>
    </row>
    <row r="75">
      <c r="D75" s="66"/>
      <c r="E75" s="67"/>
      <c r="F75" s="67"/>
      <c r="G75" s="67"/>
      <c r="H75" s="66"/>
      <c r="I75" s="70"/>
      <c r="J75" s="71"/>
      <c r="K75" s="71"/>
      <c r="M75" s="5"/>
      <c r="N75" s="6"/>
      <c r="O75" s="5"/>
      <c r="P75" s="5"/>
      <c r="W75" s="7"/>
      <c r="X75" s="7"/>
      <c r="Y75" s="7"/>
      <c r="Z75" s="7"/>
      <c r="AA75" s="7"/>
    </row>
    <row r="76">
      <c r="D76" s="66"/>
      <c r="E76" s="67"/>
      <c r="F76" s="67"/>
      <c r="G76" s="67"/>
      <c r="H76" s="66"/>
      <c r="I76" s="70"/>
      <c r="J76" s="71"/>
      <c r="K76" s="71"/>
      <c r="M76" s="5"/>
      <c r="N76" s="6"/>
      <c r="O76" s="5"/>
      <c r="P76" s="5"/>
      <c r="W76" s="7"/>
      <c r="X76" s="7"/>
      <c r="Y76" s="7"/>
      <c r="Z76" s="7"/>
      <c r="AA76" s="7"/>
    </row>
    <row r="77">
      <c r="B77" s="2"/>
      <c r="D77" s="66"/>
      <c r="E77" s="67"/>
      <c r="F77" s="67"/>
      <c r="G77" s="67"/>
      <c r="H77" s="66"/>
      <c r="I77" s="70"/>
      <c r="J77" s="71"/>
      <c r="K77" s="71"/>
      <c r="M77" s="5"/>
      <c r="N77" s="6"/>
      <c r="O77" s="5"/>
      <c r="P77" s="5"/>
      <c r="W77" s="7"/>
      <c r="X77" s="7"/>
      <c r="Y77" s="7"/>
      <c r="Z77" s="7"/>
      <c r="AA77" s="7"/>
    </row>
    <row r="78">
      <c r="B78" s="2"/>
      <c r="D78" s="66"/>
      <c r="E78" s="67"/>
      <c r="F78" s="67"/>
      <c r="G78" s="67"/>
      <c r="H78" s="66"/>
      <c r="I78" s="70"/>
      <c r="J78" s="71"/>
      <c r="K78" s="71"/>
      <c r="M78" s="5"/>
      <c r="N78" s="6"/>
      <c r="O78" s="5"/>
      <c r="P78" s="5"/>
      <c r="W78" s="7"/>
      <c r="X78" s="7"/>
      <c r="Y78" s="7"/>
      <c r="Z78" s="7"/>
      <c r="AA78" s="7"/>
    </row>
    <row r="79">
      <c r="B79" s="2"/>
      <c r="D79" s="66"/>
      <c r="E79" s="67"/>
      <c r="F79" s="67"/>
      <c r="G79" s="67"/>
      <c r="H79" s="66"/>
      <c r="I79" s="70"/>
      <c r="J79" s="71"/>
      <c r="K79" s="71"/>
      <c r="M79" s="5"/>
      <c r="N79" s="6"/>
      <c r="O79" s="5"/>
      <c r="P79" s="5"/>
      <c r="W79" s="7"/>
      <c r="X79" s="7"/>
      <c r="Y79" s="7"/>
      <c r="Z79" s="7"/>
      <c r="AA79" s="7"/>
    </row>
    <row r="80">
      <c r="B80" s="2"/>
      <c r="D80" s="66"/>
      <c r="E80" s="67"/>
      <c r="F80" s="67"/>
      <c r="G80" s="67"/>
      <c r="H80" s="66"/>
      <c r="I80" s="70"/>
      <c r="J80" s="71"/>
      <c r="K80" s="71"/>
      <c r="M80" s="5"/>
      <c r="N80" s="6"/>
      <c r="O80" s="5"/>
      <c r="P80" s="5"/>
      <c r="W80" s="7"/>
      <c r="X80" s="7"/>
      <c r="Y80" s="7"/>
      <c r="Z80" s="7"/>
      <c r="AA80" s="7"/>
    </row>
    <row r="81">
      <c r="B81" s="2"/>
      <c r="D81" s="66"/>
      <c r="E81" s="67"/>
      <c r="F81" s="67"/>
      <c r="G81" s="67"/>
      <c r="H81" s="66"/>
      <c r="I81" s="70"/>
      <c r="J81" s="71"/>
      <c r="K81" s="71"/>
      <c r="M81" s="5"/>
      <c r="N81" s="6"/>
      <c r="O81" s="5"/>
      <c r="P81" s="5"/>
      <c r="W81" s="7"/>
      <c r="X81" s="7"/>
      <c r="Y81" s="7"/>
      <c r="Z81" s="7"/>
      <c r="AA81" s="7"/>
    </row>
    <row r="82">
      <c r="B82" s="2"/>
      <c r="D82" s="66"/>
      <c r="E82" s="67"/>
      <c r="F82" s="67"/>
      <c r="G82" s="67"/>
      <c r="H82" s="66"/>
      <c r="I82" s="70"/>
      <c r="J82" s="71"/>
      <c r="K82" s="71"/>
      <c r="M82" s="5"/>
      <c r="N82" s="6"/>
      <c r="O82" s="5"/>
      <c r="P82" s="5"/>
      <c r="W82" s="7"/>
      <c r="X82" s="7"/>
      <c r="Y82" s="7"/>
      <c r="Z82" s="7"/>
      <c r="AA82" s="7"/>
    </row>
    <row r="83">
      <c r="B83" s="2"/>
      <c r="D83" s="66"/>
      <c r="E83" s="67"/>
      <c r="F83" s="67"/>
      <c r="G83" s="67"/>
      <c r="H83" s="66"/>
      <c r="I83" s="70"/>
      <c r="J83" s="71"/>
      <c r="K83" s="71"/>
      <c r="M83" s="5"/>
      <c r="N83" s="6"/>
      <c r="O83" s="5"/>
      <c r="P83" s="5"/>
      <c r="W83" s="7"/>
      <c r="X83" s="7"/>
      <c r="Y83" s="7"/>
      <c r="Z83" s="7"/>
      <c r="AA83" s="7"/>
    </row>
    <row r="84">
      <c r="B84" s="2"/>
      <c r="D84" s="66"/>
      <c r="E84" s="67"/>
      <c r="F84" s="67"/>
      <c r="G84" s="67"/>
      <c r="H84" s="66"/>
      <c r="I84" s="70"/>
      <c r="J84" s="71"/>
      <c r="K84" s="71"/>
      <c r="M84" s="5"/>
      <c r="N84" s="6"/>
      <c r="O84" s="5"/>
      <c r="P84" s="5"/>
      <c r="W84" s="7"/>
      <c r="X84" s="7"/>
      <c r="Y84" s="7"/>
      <c r="Z84" s="7"/>
      <c r="AA84" s="7"/>
    </row>
    <row r="85">
      <c r="B85" s="2"/>
      <c r="D85" s="66"/>
      <c r="E85" s="67"/>
      <c r="F85" s="67"/>
      <c r="G85" s="67"/>
      <c r="H85" s="66"/>
      <c r="I85" s="70"/>
      <c r="J85" s="71"/>
      <c r="K85" s="71"/>
      <c r="M85" s="5"/>
      <c r="N85" s="6"/>
      <c r="O85" s="5"/>
      <c r="P85" s="5"/>
      <c r="W85" s="7"/>
      <c r="X85" s="7"/>
      <c r="Y85" s="7"/>
      <c r="Z85" s="7"/>
      <c r="AA85" s="7"/>
    </row>
    <row r="86">
      <c r="B86" s="2"/>
      <c r="D86" s="66"/>
      <c r="E86" s="67"/>
      <c r="F86" s="67"/>
      <c r="G86" s="67"/>
      <c r="H86" s="66"/>
      <c r="I86" s="70"/>
      <c r="J86" s="71"/>
      <c r="K86" s="71"/>
      <c r="M86" s="5"/>
      <c r="N86" s="6"/>
      <c r="O86" s="5"/>
      <c r="P86" s="5"/>
      <c r="W86" s="7"/>
      <c r="X86" s="7"/>
      <c r="Y86" s="7"/>
      <c r="Z86" s="7"/>
      <c r="AA86" s="7"/>
    </row>
    <row r="87">
      <c r="B87" s="2"/>
      <c r="D87" s="66"/>
      <c r="E87" s="67"/>
      <c r="F87" s="67"/>
      <c r="G87" s="67"/>
      <c r="H87" s="66"/>
      <c r="I87" s="70"/>
      <c r="J87" s="71"/>
      <c r="K87" s="71"/>
      <c r="M87" s="5"/>
      <c r="N87" s="6"/>
      <c r="O87" s="5"/>
      <c r="P87" s="5"/>
      <c r="W87" s="7"/>
      <c r="X87" s="7"/>
      <c r="Y87" s="7"/>
      <c r="Z87" s="7"/>
      <c r="AA87" s="7"/>
    </row>
    <row r="88">
      <c r="B88" s="2"/>
      <c r="D88" s="66"/>
      <c r="E88" s="67"/>
      <c r="F88" s="67"/>
      <c r="G88" s="67"/>
      <c r="H88" s="66"/>
      <c r="I88" s="70"/>
      <c r="J88" s="71"/>
      <c r="K88" s="71"/>
      <c r="M88" s="5"/>
      <c r="N88" s="6"/>
      <c r="O88" s="5"/>
      <c r="P88" s="5"/>
      <c r="W88" s="7"/>
      <c r="X88" s="7"/>
      <c r="Y88" s="7"/>
      <c r="Z88" s="7"/>
      <c r="AA88" s="7"/>
    </row>
    <row r="89">
      <c r="B89" s="2"/>
      <c r="D89" s="66"/>
      <c r="E89" s="67"/>
      <c r="F89" s="67"/>
      <c r="G89" s="67"/>
      <c r="H89" s="66"/>
      <c r="I89" s="70"/>
      <c r="J89" s="71"/>
      <c r="K89" s="71"/>
      <c r="M89" s="5"/>
      <c r="N89" s="6"/>
      <c r="O89" s="5"/>
      <c r="P89" s="5"/>
      <c r="W89" s="7"/>
      <c r="X89" s="7"/>
      <c r="Y89" s="7"/>
      <c r="Z89" s="7"/>
      <c r="AA89" s="7"/>
    </row>
    <row r="90">
      <c r="B90" s="2"/>
      <c r="D90" s="66"/>
      <c r="E90" s="67"/>
      <c r="F90" s="67"/>
      <c r="G90" s="67"/>
      <c r="H90" s="66"/>
      <c r="I90" s="70"/>
      <c r="J90" s="71"/>
      <c r="K90" s="71"/>
      <c r="M90" s="5"/>
      <c r="N90" s="6"/>
      <c r="O90" s="5"/>
      <c r="P90" s="5"/>
      <c r="W90" s="7"/>
      <c r="X90" s="7"/>
      <c r="Y90" s="7"/>
      <c r="Z90" s="7"/>
      <c r="AA90" s="7"/>
    </row>
    <row r="91">
      <c r="B91" s="2"/>
      <c r="D91" s="66"/>
      <c r="E91" s="67"/>
      <c r="F91" s="67"/>
      <c r="G91" s="67"/>
      <c r="H91" s="66"/>
      <c r="I91" s="70"/>
      <c r="J91" s="71"/>
      <c r="K91" s="71"/>
      <c r="M91" s="5"/>
      <c r="N91" s="6"/>
      <c r="O91" s="5"/>
      <c r="P91" s="5"/>
      <c r="W91" s="7"/>
      <c r="X91" s="7"/>
      <c r="Y91" s="7"/>
      <c r="Z91" s="7"/>
      <c r="AA91" s="7"/>
    </row>
    <row r="92">
      <c r="B92" s="2"/>
      <c r="D92" s="66"/>
      <c r="E92" s="67"/>
      <c r="F92" s="67"/>
      <c r="G92" s="67"/>
      <c r="H92" s="66"/>
      <c r="I92" s="70"/>
      <c r="J92" s="71"/>
      <c r="K92" s="71"/>
      <c r="M92" s="5"/>
      <c r="N92" s="6"/>
      <c r="O92" s="5"/>
      <c r="P92" s="5"/>
      <c r="W92" s="7"/>
      <c r="X92" s="7"/>
      <c r="Y92" s="7"/>
      <c r="Z92" s="7"/>
      <c r="AA92" s="7"/>
    </row>
    <row r="93">
      <c r="B93" s="2"/>
      <c r="D93" s="66"/>
      <c r="E93" s="67"/>
      <c r="F93" s="67"/>
      <c r="G93" s="67"/>
      <c r="H93" s="66"/>
      <c r="I93" s="70"/>
      <c r="J93" s="71"/>
      <c r="K93" s="71"/>
      <c r="M93" s="5"/>
      <c r="N93" s="6"/>
      <c r="O93" s="5"/>
      <c r="P93" s="5"/>
      <c r="W93" s="7"/>
      <c r="X93" s="7"/>
      <c r="Y93" s="7"/>
      <c r="Z93" s="7"/>
      <c r="AA93" s="7"/>
    </row>
    <row r="94">
      <c r="B94" s="2"/>
      <c r="D94" s="66"/>
      <c r="E94" s="67"/>
      <c r="F94" s="67"/>
      <c r="G94" s="67"/>
      <c r="H94" s="66"/>
      <c r="I94" s="70"/>
      <c r="J94" s="71"/>
      <c r="K94" s="71"/>
      <c r="M94" s="5"/>
      <c r="N94" s="6"/>
      <c r="O94" s="5"/>
      <c r="P94" s="5"/>
      <c r="W94" s="7"/>
      <c r="X94" s="7"/>
      <c r="Y94" s="7"/>
      <c r="Z94" s="7"/>
      <c r="AA94" s="7"/>
    </row>
    <row r="95">
      <c r="B95" s="2"/>
      <c r="D95" s="66"/>
      <c r="E95" s="67"/>
      <c r="F95" s="67"/>
      <c r="G95" s="67"/>
      <c r="H95" s="66"/>
      <c r="I95" s="70"/>
      <c r="J95" s="71"/>
      <c r="K95" s="71"/>
      <c r="M95" s="5"/>
      <c r="N95" s="6"/>
      <c r="O95" s="5"/>
      <c r="P95" s="5"/>
      <c r="W95" s="7"/>
      <c r="X95" s="7"/>
      <c r="Y95" s="7"/>
      <c r="Z95" s="7"/>
      <c r="AA95" s="7"/>
    </row>
    <row r="96">
      <c r="B96" s="2"/>
      <c r="D96" s="66"/>
      <c r="E96" s="67"/>
      <c r="F96" s="67"/>
      <c r="G96" s="67"/>
      <c r="H96" s="66"/>
      <c r="I96" s="70"/>
      <c r="J96" s="71"/>
      <c r="K96" s="71"/>
      <c r="M96" s="5"/>
      <c r="N96" s="6"/>
      <c r="O96" s="5"/>
      <c r="P96" s="5"/>
      <c r="W96" s="7"/>
      <c r="X96" s="7"/>
      <c r="Y96" s="7"/>
      <c r="Z96" s="7"/>
      <c r="AA96" s="7"/>
    </row>
    <row r="97">
      <c r="B97" s="2"/>
      <c r="D97" s="66"/>
      <c r="E97" s="67"/>
      <c r="F97" s="67"/>
      <c r="G97" s="67"/>
      <c r="H97" s="66"/>
      <c r="I97" s="70"/>
      <c r="J97" s="71"/>
      <c r="K97" s="71"/>
      <c r="M97" s="5"/>
      <c r="N97" s="6"/>
      <c r="O97" s="5"/>
      <c r="P97" s="5"/>
      <c r="W97" s="7"/>
      <c r="X97" s="7"/>
      <c r="Y97" s="7"/>
      <c r="Z97" s="7"/>
      <c r="AA97" s="7"/>
    </row>
    <row r="98">
      <c r="B98" s="2"/>
      <c r="D98" s="66"/>
      <c r="E98" s="67"/>
      <c r="F98" s="67"/>
      <c r="G98" s="67"/>
      <c r="H98" s="66"/>
      <c r="I98" s="70"/>
      <c r="J98" s="71"/>
      <c r="K98" s="71"/>
      <c r="M98" s="5"/>
      <c r="N98" s="6"/>
      <c r="O98" s="5"/>
      <c r="P98" s="5"/>
      <c r="W98" s="7"/>
      <c r="X98" s="7"/>
      <c r="Y98" s="7"/>
      <c r="Z98" s="7"/>
      <c r="AA98" s="7"/>
    </row>
    <row r="99">
      <c r="B99" s="2"/>
      <c r="M99" s="5"/>
      <c r="N99" s="6"/>
      <c r="O99" s="5"/>
      <c r="P99" s="5"/>
      <c r="W99" s="7"/>
      <c r="X99" s="7"/>
      <c r="Y99" s="7"/>
      <c r="Z99" s="7"/>
      <c r="AA99" s="7"/>
    </row>
    <row r="100">
      <c r="B100" s="2"/>
      <c r="M100" s="5"/>
      <c r="N100" s="6"/>
      <c r="O100" s="5"/>
      <c r="P100" s="5"/>
      <c r="W100" s="7"/>
      <c r="X100" s="7"/>
      <c r="Y100" s="7"/>
      <c r="Z100" s="7"/>
      <c r="AA100" s="7"/>
    </row>
    <row r="101">
      <c r="B101" s="2"/>
      <c r="M101" s="5"/>
      <c r="N101" s="6"/>
      <c r="O101" s="5"/>
      <c r="P101" s="5"/>
      <c r="W101" s="7"/>
      <c r="X101" s="7"/>
      <c r="Y101" s="7"/>
      <c r="Z101" s="7"/>
      <c r="AA101" s="7"/>
    </row>
    <row r="102">
      <c r="B102" s="2"/>
      <c r="M102" s="5"/>
      <c r="N102" s="6"/>
      <c r="O102" s="5"/>
      <c r="P102" s="5"/>
      <c r="W102" s="7"/>
      <c r="X102" s="7"/>
      <c r="Y102" s="7"/>
      <c r="Z102" s="7"/>
      <c r="AA102" s="7"/>
    </row>
    <row r="103">
      <c r="B103" s="2"/>
      <c r="M103" s="5"/>
      <c r="N103" s="6"/>
      <c r="O103" s="5"/>
      <c r="P103" s="5"/>
      <c r="W103" s="7"/>
      <c r="X103" s="7"/>
      <c r="Y103" s="7"/>
      <c r="Z103" s="7"/>
      <c r="AA103" s="7"/>
    </row>
    <row r="104">
      <c r="B104" s="2"/>
      <c r="M104" s="5"/>
      <c r="N104" s="6"/>
      <c r="O104" s="5"/>
      <c r="P104" s="5"/>
      <c r="W104" s="7"/>
      <c r="X104" s="7"/>
      <c r="Y104" s="7"/>
      <c r="Z104" s="7"/>
      <c r="AA104" s="7"/>
    </row>
    <row r="105">
      <c r="B105" s="2"/>
      <c r="M105" s="5"/>
      <c r="N105" s="6"/>
      <c r="O105" s="5"/>
      <c r="P105" s="5"/>
      <c r="W105" s="7"/>
      <c r="X105" s="7"/>
      <c r="Y105" s="7"/>
      <c r="Z105" s="7"/>
      <c r="AA105" s="7"/>
    </row>
    <row r="106">
      <c r="B106" s="2"/>
      <c r="M106" s="5"/>
      <c r="N106" s="6"/>
      <c r="O106" s="5"/>
      <c r="P106" s="5"/>
      <c r="W106" s="7"/>
      <c r="X106" s="7"/>
      <c r="Y106" s="7"/>
      <c r="Z106" s="7"/>
      <c r="AA106" s="7"/>
    </row>
    <row r="107">
      <c r="B107" s="2"/>
      <c r="M107" s="5"/>
      <c r="N107" s="6"/>
      <c r="O107" s="5"/>
      <c r="P107" s="5"/>
      <c r="W107" s="7"/>
      <c r="X107" s="7"/>
      <c r="Y107" s="7"/>
      <c r="Z107" s="7"/>
      <c r="AA107" s="7"/>
    </row>
    <row r="108">
      <c r="B108" s="2"/>
      <c r="M108" s="5"/>
      <c r="N108" s="6"/>
      <c r="O108" s="5"/>
      <c r="P108" s="5"/>
      <c r="W108" s="7"/>
      <c r="X108" s="7"/>
      <c r="Y108" s="7"/>
      <c r="Z108" s="7"/>
      <c r="AA108" s="7"/>
    </row>
    <row r="109">
      <c r="B109" s="2"/>
      <c r="M109" s="5"/>
      <c r="N109" s="6"/>
      <c r="O109" s="5"/>
      <c r="P109" s="5"/>
      <c r="W109" s="7"/>
      <c r="X109" s="7"/>
      <c r="Y109" s="7"/>
      <c r="Z109" s="7"/>
      <c r="AA109" s="7"/>
    </row>
    <row r="110">
      <c r="B110" s="2"/>
      <c r="M110" s="5"/>
      <c r="N110" s="6"/>
      <c r="O110" s="5"/>
      <c r="P110" s="5"/>
      <c r="W110" s="7"/>
      <c r="X110" s="7"/>
      <c r="Y110" s="7"/>
      <c r="Z110" s="7"/>
      <c r="AA110" s="7"/>
    </row>
    <row r="111">
      <c r="B111" s="2"/>
      <c r="M111" s="5"/>
      <c r="N111" s="6"/>
      <c r="O111" s="5"/>
      <c r="P111" s="5"/>
      <c r="W111" s="7"/>
      <c r="X111" s="7"/>
      <c r="Y111" s="7"/>
      <c r="Z111" s="7"/>
      <c r="AA111" s="7"/>
    </row>
    <row r="112">
      <c r="B112" s="2"/>
      <c r="M112" s="5"/>
      <c r="N112" s="6"/>
      <c r="O112" s="5"/>
      <c r="P112" s="5"/>
      <c r="W112" s="7"/>
      <c r="X112" s="7"/>
      <c r="Y112" s="7"/>
      <c r="Z112" s="7"/>
      <c r="AA112" s="7"/>
    </row>
    <row r="113">
      <c r="B113" s="2"/>
      <c r="M113" s="5"/>
      <c r="N113" s="6"/>
      <c r="O113" s="5"/>
      <c r="P113" s="5"/>
      <c r="W113" s="7"/>
      <c r="X113" s="7"/>
      <c r="Y113" s="7"/>
      <c r="Z113" s="7"/>
      <c r="AA113" s="7"/>
    </row>
    <row r="114">
      <c r="B114" s="2"/>
      <c r="M114" s="5"/>
      <c r="N114" s="6"/>
      <c r="O114" s="5"/>
      <c r="P114" s="5"/>
      <c r="W114" s="7"/>
      <c r="X114" s="7"/>
      <c r="Y114" s="7"/>
      <c r="Z114" s="7"/>
      <c r="AA114" s="7"/>
    </row>
    <row r="115">
      <c r="B115" s="2"/>
      <c r="M115" s="5"/>
      <c r="N115" s="6"/>
      <c r="O115" s="5"/>
      <c r="P115" s="5"/>
      <c r="W115" s="7"/>
      <c r="X115" s="7"/>
      <c r="Y115" s="7"/>
      <c r="Z115" s="7"/>
      <c r="AA115" s="7"/>
    </row>
    <row r="116">
      <c r="B116" s="2"/>
      <c r="M116" s="5"/>
      <c r="N116" s="6"/>
      <c r="O116" s="5"/>
      <c r="P116" s="5"/>
      <c r="W116" s="7"/>
      <c r="X116" s="7"/>
      <c r="Y116" s="7"/>
      <c r="Z116" s="7"/>
      <c r="AA116" s="7"/>
    </row>
    <row r="117">
      <c r="B117" s="2"/>
      <c r="M117" s="5"/>
      <c r="N117" s="6"/>
      <c r="O117" s="5"/>
      <c r="P117" s="5"/>
      <c r="W117" s="7"/>
      <c r="X117" s="7"/>
      <c r="Y117" s="7"/>
      <c r="Z117" s="7"/>
      <c r="AA117" s="7"/>
    </row>
    <row r="118">
      <c r="B118" s="2"/>
      <c r="M118" s="5"/>
      <c r="N118" s="6"/>
      <c r="O118" s="5"/>
      <c r="P118" s="5"/>
      <c r="W118" s="7"/>
      <c r="X118" s="7"/>
      <c r="Y118" s="7"/>
      <c r="Z118" s="7"/>
      <c r="AA118" s="7"/>
    </row>
    <row r="119">
      <c r="B119" s="2"/>
      <c r="M119" s="5"/>
      <c r="N119" s="6"/>
      <c r="O119" s="5"/>
      <c r="P119" s="5"/>
      <c r="W119" s="7"/>
      <c r="X119" s="7"/>
      <c r="Y119" s="7"/>
      <c r="Z119" s="7"/>
      <c r="AA119" s="7"/>
    </row>
    <row r="120">
      <c r="B120" s="2"/>
      <c r="M120" s="5"/>
      <c r="N120" s="6"/>
      <c r="O120" s="5"/>
      <c r="P120" s="5"/>
      <c r="W120" s="7"/>
      <c r="X120" s="7"/>
      <c r="Y120" s="7"/>
      <c r="Z120" s="7"/>
      <c r="AA120" s="7"/>
    </row>
    <row r="121">
      <c r="B121" s="2"/>
      <c r="M121" s="5"/>
      <c r="N121" s="6"/>
      <c r="O121" s="5"/>
      <c r="P121" s="5"/>
      <c r="W121" s="7"/>
      <c r="X121" s="7"/>
      <c r="Y121" s="7"/>
      <c r="Z121" s="7"/>
      <c r="AA121" s="7"/>
    </row>
    <row r="122">
      <c r="B122" s="2"/>
      <c r="M122" s="5"/>
      <c r="N122" s="6"/>
      <c r="O122" s="5"/>
      <c r="P122" s="5"/>
      <c r="W122" s="7"/>
      <c r="X122" s="7"/>
      <c r="Y122" s="7"/>
      <c r="Z122" s="7"/>
      <c r="AA122" s="7"/>
    </row>
    <row r="123">
      <c r="B123" s="2"/>
      <c r="M123" s="5"/>
      <c r="N123" s="6"/>
      <c r="O123" s="5"/>
      <c r="P123" s="5"/>
      <c r="W123" s="7"/>
      <c r="X123" s="7"/>
      <c r="Y123" s="7"/>
      <c r="Z123" s="7"/>
      <c r="AA123" s="7"/>
    </row>
    <row r="124">
      <c r="B124" s="2"/>
      <c r="M124" s="5"/>
      <c r="N124" s="6"/>
      <c r="O124" s="5"/>
      <c r="P124" s="5"/>
      <c r="W124" s="7"/>
      <c r="X124" s="7"/>
      <c r="Y124" s="7"/>
      <c r="Z124" s="7"/>
      <c r="AA124" s="7"/>
    </row>
    <row r="125">
      <c r="B125" s="2"/>
      <c r="M125" s="5"/>
      <c r="N125" s="6"/>
      <c r="O125" s="5"/>
      <c r="P125" s="5"/>
      <c r="W125" s="7"/>
      <c r="X125" s="7"/>
      <c r="Y125" s="7"/>
      <c r="Z125" s="7"/>
      <c r="AA125" s="7"/>
    </row>
    <row r="126">
      <c r="B126" s="2"/>
      <c r="M126" s="5"/>
      <c r="N126" s="6"/>
      <c r="O126" s="5"/>
      <c r="P126" s="5"/>
      <c r="W126" s="7"/>
      <c r="X126" s="7"/>
      <c r="Y126" s="7"/>
      <c r="Z126" s="7"/>
      <c r="AA126" s="7"/>
    </row>
    <row r="127">
      <c r="B127" s="2"/>
      <c r="M127" s="5"/>
      <c r="N127" s="6"/>
      <c r="O127" s="5"/>
      <c r="P127" s="5"/>
      <c r="W127" s="7"/>
      <c r="X127" s="7"/>
      <c r="Y127" s="7"/>
      <c r="Z127" s="7"/>
      <c r="AA127" s="7"/>
    </row>
    <row r="128">
      <c r="B128" s="2"/>
      <c r="M128" s="5"/>
      <c r="N128" s="6"/>
      <c r="O128" s="5"/>
      <c r="P128" s="5"/>
      <c r="W128" s="7"/>
      <c r="X128" s="7"/>
      <c r="Y128" s="7"/>
      <c r="Z128" s="7"/>
      <c r="AA128" s="7"/>
    </row>
    <row r="129">
      <c r="B129" s="2"/>
      <c r="M129" s="5"/>
      <c r="N129" s="6"/>
      <c r="O129" s="5"/>
      <c r="P129" s="5"/>
      <c r="W129" s="7"/>
      <c r="X129" s="7"/>
      <c r="Y129" s="7"/>
      <c r="Z129" s="7"/>
      <c r="AA129" s="7"/>
    </row>
    <row r="130">
      <c r="B130" s="2"/>
      <c r="M130" s="5"/>
      <c r="N130" s="6"/>
      <c r="O130" s="5"/>
      <c r="P130" s="5"/>
      <c r="W130" s="7"/>
      <c r="X130" s="7"/>
      <c r="Y130" s="7"/>
      <c r="Z130" s="7"/>
      <c r="AA130" s="7"/>
    </row>
    <row r="131">
      <c r="B131" s="2"/>
      <c r="M131" s="5"/>
      <c r="N131" s="6"/>
      <c r="O131" s="5"/>
      <c r="P131" s="5"/>
      <c r="W131" s="7"/>
      <c r="X131" s="7"/>
      <c r="Y131" s="7"/>
      <c r="Z131" s="7"/>
      <c r="AA131" s="7"/>
    </row>
    <row r="132">
      <c r="B132" s="2"/>
      <c r="M132" s="5"/>
      <c r="N132" s="6"/>
      <c r="O132" s="5"/>
      <c r="P132" s="5"/>
      <c r="W132" s="7"/>
      <c r="X132" s="7"/>
      <c r="Y132" s="7"/>
      <c r="Z132" s="7"/>
      <c r="AA132" s="7"/>
    </row>
    <row r="133">
      <c r="B133" s="2"/>
      <c r="M133" s="5"/>
      <c r="N133" s="6"/>
      <c r="O133" s="5"/>
      <c r="P133" s="5"/>
      <c r="W133" s="7"/>
      <c r="X133" s="7"/>
      <c r="Y133" s="7"/>
      <c r="Z133" s="7"/>
      <c r="AA133" s="7"/>
    </row>
    <row r="134">
      <c r="B134" s="2"/>
      <c r="M134" s="5"/>
      <c r="N134" s="6"/>
      <c r="O134" s="5"/>
      <c r="P134" s="5"/>
      <c r="W134" s="7"/>
      <c r="X134" s="7"/>
      <c r="Y134" s="7"/>
      <c r="Z134" s="7"/>
      <c r="AA134" s="7"/>
    </row>
    <row r="135">
      <c r="B135" s="2"/>
      <c r="M135" s="5"/>
      <c r="N135" s="6"/>
      <c r="O135" s="5"/>
      <c r="P135" s="5"/>
      <c r="W135" s="7"/>
      <c r="X135" s="7"/>
      <c r="Y135" s="7"/>
      <c r="Z135" s="7"/>
      <c r="AA135" s="7"/>
    </row>
    <row r="136">
      <c r="B136" s="2"/>
      <c r="M136" s="5"/>
      <c r="N136" s="6"/>
      <c r="O136" s="5"/>
      <c r="P136" s="5"/>
      <c r="W136" s="7"/>
      <c r="X136" s="7"/>
      <c r="Y136" s="7"/>
      <c r="Z136" s="7"/>
      <c r="AA136" s="7"/>
    </row>
    <row r="137">
      <c r="B137" s="2"/>
      <c r="M137" s="5"/>
      <c r="N137" s="6"/>
      <c r="O137" s="5"/>
      <c r="P137" s="5"/>
      <c r="W137" s="7"/>
      <c r="X137" s="7"/>
      <c r="Y137" s="7"/>
      <c r="Z137" s="7"/>
      <c r="AA137" s="7"/>
    </row>
    <row r="138">
      <c r="B138" s="2"/>
      <c r="M138" s="5"/>
      <c r="N138" s="6"/>
      <c r="O138" s="5"/>
      <c r="P138" s="5"/>
      <c r="W138" s="7"/>
      <c r="X138" s="7"/>
      <c r="Y138" s="7"/>
      <c r="Z138" s="7"/>
      <c r="AA138" s="7"/>
    </row>
    <row r="139">
      <c r="B139" s="2"/>
      <c r="M139" s="5"/>
      <c r="N139" s="6"/>
      <c r="O139" s="5"/>
      <c r="P139" s="5"/>
      <c r="W139" s="7"/>
      <c r="X139" s="7"/>
      <c r="Y139" s="7"/>
      <c r="Z139" s="7"/>
      <c r="AA139" s="7"/>
    </row>
    <row r="140">
      <c r="B140" s="2"/>
      <c r="M140" s="5"/>
      <c r="N140" s="6"/>
      <c r="O140" s="5"/>
      <c r="P140" s="5"/>
      <c r="W140" s="7"/>
      <c r="X140" s="7"/>
      <c r="Y140" s="7"/>
      <c r="Z140" s="7"/>
      <c r="AA140" s="7"/>
    </row>
    <row r="141">
      <c r="B141" s="2"/>
      <c r="M141" s="5"/>
      <c r="N141" s="6"/>
      <c r="O141" s="5"/>
      <c r="P141" s="5"/>
      <c r="W141" s="7"/>
      <c r="X141" s="7"/>
      <c r="Y141" s="7"/>
      <c r="Z141" s="7"/>
      <c r="AA141" s="7"/>
    </row>
    <row r="142">
      <c r="B142" s="2"/>
      <c r="M142" s="5"/>
      <c r="N142" s="6"/>
      <c r="O142" s="5"/>
      <c r="P142" s="5"/>
      <c r="W142" s="7"/>
      <c r="X142" s="7"/>
      <c r="Y142" s="7"/>
      <c r="Z142" s="7"/>
      <c r="AA142" s="7"/>
    </row>
    <row r="143">
      <c r="B143" s="2"/>
      <c r="M143" s="5"/>
      <c r="N143" s="6"/>
      <c r="O143" s="5"/>
      <c r="P143" s="5"/>
      <c r="W143" s="7"/>
      <c r="X143" s="7"/>
      <c r="Y143" s="7"/>
      <c r="Z143" s="7"/>
      <c r="AA143" s="7"/>
    </row>
    <row r="144">
      <c r="B144" s="2"/>
      <c r="M144" s="5"/>
      <c r="N144" s="6"/>
      <c r="O144" s="5"/>
      <c r="P144" s="5"/>
      <c r="W144" s="7"/>
      <c r="X144" s="7"/>
      <c r="Y144" s="7"/>
      <c r="Z144" s="7"/>
      <c r="AA144" s="7"/>
    </row>
    <row r="145">
      <c r="B145" s="2"/>
      <c r="M145" s="5"/>
      <c r="N145" s="6"/>
      <c r="O145" s="5"/>
      <c r="P145" s="5"/>
      <c r="W145" s="7"/>
      <c r="X145" s="7"/>
      <c r="Y145" s="7"/>
      <c r="Z145" s="7"/>
      <c r="AA145" s="7"/>
    </row>
    <row r="146">
      <c r="B146" s="2"/>
      <c r="M146" s="5"/>
      <c r="N146" s="6"/>
      <c r="O146" s="5"/>
      <c r="P146" s="5"/>
      <c r="W146" s="7"/>
      <c r="X146" s="7"/>
      <c r="Y146" s="7"/>
      <c r="Z146" s="7"/>
      <c r="AA146" s="7"/>
    </row>
    <row r="147">
      <c r="B147" s="2"/>
      <c r="M147" s="5"/>
      <c r="N147" s="6"/>
      <c r="O147" s="5"/>
      <c r="P147" s="5"/>
      <c r="W147" s="7"/>
      <c r="X147" s="7"/>
      <c r="Y147" s="7"/>
      <c r="Z147" s="7"/>
      <c r="AA147" s="7"/>
    </row>
    <row r="148">
      <c r="B148" s="2"/>
      <c r="M148" s="5"/>
      <c r="N148" s="6"/>
      <c r="O148" s="5"/>
      <c r="P148" s="5"/>
      <c r="W148" s="7"/>
      <c r="X148" s="7"/>
      <c r="Y148" s="7"/>
      <c r="Z148" s="7"/>
      <c r="AA148" s="7"/>
    </row>
    <row r="149">
      <c r="B149" s="2"/>
      <c r="M149" s="5"/>
      <c r="N149" s="6"/>
      <c r="O149" s="5"/>
      <c r="P149" s="5"/>
      <c r="W149" s="7"/>
      <c r="X149" s="7"/>
      <c r="Y149" s="7"/>
      <c r="Z149" s="7"/>
      <c r="AA149" s="7"/>
    </row>
    <row r="150">
      <c r="B150" s="2"/>
      <c r="M150" s="5"/>
      <c r="N150" s="6"/>
      <c r="O150" s="5"/>
      <c r="P150" s="5"/>
      <c r="W150" s="7"/>
      <c r="X150" s="7"/>
      <c r="Y150" s="7"/>
      <c r="Z150" s="7"/>
      <c r="AA150" s="7"/>
    </row>
    <row r="151">
      <c r="B151" s="2"/>
      <c r="M151" s="5"/>
      <c r="N151" s="6"/>
      <c r="O151" s="5"/>
      <c r="P151" s="5"/>
      <c r="W151" s="7"/>
      <c r="X151" s="7"/>
      <c r="Y151" s="7"/>
      <c r="Z151" s="7"/>
      <c r="AA151" s="7"/>
    </row>
    <row r="152">
      <c r="B152" s="2"/>
      <c r="M152" s="5"/>
      <c r="N152" s="6"/>
      <c r="O152" s="5"/>
      <c r="P152" s="5"/>
      <c r="W152" s="7"/>
      <c r="X152" s="7"/>
      <c r="Y152" s="7"/>
      <c r="Z152" s="7"/>
      <c r="AA152" s="7"/>
    </row>
    <row r="153">
      <c r="B153" s="2"/>
      <c r="M153" s="5"/>
      <c r="N153" s="6"/>
      <c r="O153" s="5"/>
      <c r="P153" s="5"/>
      <c r="W153" s="7"/>
      <c r="X153" s="7"/>
      <c r="Y153" s="7"/>
      <c r="Z153" s="7"/>
      <c r="AA153" s="7"/>
    </row>
    <row r="154">
      <c r="B154" s="2"/>
      <c r="M154" s="5"/>
      <c r="N154" s="6"/>
      <c r="O154" s="5"/>
      <c r="P154" s="5"/>
      <c r="W154" s="7"/>
      <c r="X154" s="7"/>
      <c r="Y154" s="7"/>
      <c r="Z154" s="7"/>
      <c r="AA154" s="7"/>
    </row>
    <row r="155">
      <c r="B155" s="2"/>
      <c r="M155" s="5"/>
      <c r="N155" s="6"/>
      <c r="O155" s="5"/>
      <c r="P155" s="5"/>
      <c r="W155" s="7"/>
      <c r="X155" s="7"/>
      <c r="Y155" s="7"/>
      <c r="Z155" s="7"/>
      <c r="AA155" s="7"/>
    </row>
    <row r="156">
      <c r="B156" s="2"/>
      <c r="M156" s="5"/>
      <c r="N156" s="6"/>
      <c r="O156" s="5"/>
      <c r="P156" s="5"/>
      <c r="W156" s="7"/>
      <c r="X156" s="7"/>
      <c r="Y156" s="7"/>
      <c r="Z156" s="7"/>
      <c r="AA156" s="7"/>
    </row>
    <row r="157">
      <c r="B157" s="2"/>
      <c r="M157" s="5"/>
      <c r="N157" s="6"/>
      <c r="O157" s="5"/>
      <c r="P157" s="5"/>
      <c r="W157" s="7"/>
      <c r="X157" s="7"/>
      <c r="Y157" s="7"/>
      <c r="Z157" s="7"/>
      <c r="AA157" s="7"/>
    </row>
    <row r="158">
      <c r="B158" s="2"/>
      <c r="M158" s="5"/>
      <c r="N158" s="6"/>
      <c r="O158" s="5"/>
      <c r="P158" s="5"/>
      <c r="W158" s="7"/>
      <c r="X158" s="7"/>
      <c r="Y158" s="7"/>
      <c r="Z158" s="7"/>
      <c r="AA158" s="7"/>
    </row>
    <row r="159">
      <c r="B159" s="2"/>
      <c r="M159" s="5"/>
      <c r="N159" s="6"/>
      <c r="O159" s="5"/>
      <c r="P159" s="5"/>
      <c r="W159" s="7"/>
      <c r="X159" s="7"/>
      <c r="Y159" s="7"/>
      <c r="Z159" s="7"/>
      <c r="AA159" s="7"/>
    </row>
    <row r="160">
      <c r="B160" s="2"/>
      <c r="M160" s="5"/>
      <c r="N160" s="6"/>
      <c r="O160" s="5"/>
      <c r="P160" s="5"/>
      <c r="W160" s="7"/>
      <c r="X160" s="7"/>
      <c r="Y160" s="7"/>
      <c r="Z160" s="7"/>
      <c r="AA160" s="7"/>
    </row>
    <row r="161">
      <c r="B161" s="2"/>
      <c r="M161" s="5"/>
      <c r="N161" s="6"/>
      <c r="O161" s="5"/>
      <c r="P161" s="5"/>
      <c r="W161" s="7"/>
      <c r="X161" s="7"/>
      <c r="Y161" s="7"/>
      <c r="Z161" s="7"/>
      <c r="AA161" s="7"/>
    </row>
    <row r="162">
      <c r="B162" s="2"/>
      <c r="M162" s="5"/>
      <c r="N162" s="6"/>
      <c r="O162" s="5"/>
      <c r="P162" s="5"/>
      <c r="W162" s="7"/>
      <c r="X162" s="7"/>
      <c r="Y162" s="7"/>
      <c r="Z162" s="7"/>
      <c r="AA162" s="7"/>
    </row>
    <row r="163">
      <c r="B163" s="2"/>
      <c r="M163" s="5"/>
      <c r="N163" s="6"/>
      <c r="O163" s="5"/>
      <c r="P163" s="5"/>
      <c r="W163" s="7"/>
      <c r="X163" s="7"/>
      <c r="Y163" s="7"/>
      <c r="Z163" s="7"/>
      <c r="AA163" s="7"/>
    </row>
    <row r="164">
      <c r="B164" s="2"/>
      <c r="M164" s="5"/>
      <c r="N164" s="6"/>
      <c r="O164" s="5"/>
      <c r="P164" s="5"/>
      <c r="W164" s="7"/>
      <c r="X164" s="7"/>
      <c r="Y164" s="7"/>
      <c r="Z164" s="7"/>
      <c r="AA164" s="7"/>
    </row>
    <row r="165">
      <c r="B165" s="2"/>
      <c r="M165" s="5"/>
      <c r="N165" s="6"/>
      <c r="O165" s="5"/>
      <c r="P165" s="5"/>
      <c r="W165" s="7"/>
      <c r="X165" s="7"/>
      <c r="Y165" s="7"/>
      <c r="Z165" s="7"/>
      <c r="AA165" s="7"/>
    </row>
    <row r="166">
      <c r="B166" s="2"/>
      <c r="M166" s="5"/>
      <c r="N166" s="6"/>
      <c r="O166" s="5"/>
      <c r="P166" s="5"/>
      <c r="W166" s="7"/>
      <c r="X166" s="7"/>
      <c r="Y166" s="7"/>
      <c r="Z166" s="7"/>
      <c r="AA166" s="7"/>
    </row>
    <row r="167">
      <c r="B167" s="2"/>
      <c r="M167" s="5"/>
      <c r="N167" s="6"/>
      <c r="O167" s="5"/>
      <c r="P167" s="5"/>
      <c r="W167" s="7"/>
      <c r="X167" s="7"/>
      <c r="Y167" s="7"/>
      <c r="Z167" s="7"/>
      <c r="AA167" s="7"/>
    </row>
    <row r="168">
      <c r="B168" s="2"/>
      <c r="M168" s="5"/>
      <c r="N168" s="6"/>
      <c r="O168" s="5"/>
      <c r="P168" s="5"/>
      <c r="W168" s="7"/>
      <c r="X168" s="7"/>
      <c r="Y168" s="7"/>
      <c r="Z168" s="7"/>
      <c r="AA168" s="7"/>
    </row>
    <row r="169">
      <c r="B169" s="2"/>
      <c r="M169" s="5"/>
      <c r="N169" s="6"/>
      <c r="O169" s="5"/>
      <c r="P169" s="5"/>
      <c r="W169" s="7"/>
      <c r="X169" s="7"/>
      <c r="Y169" s="7"/>
      <c r="Z169" s="7"/>
      <c r="AA169" s="7"/>
    </row>
    <row r="170">
      <c r="B170" s="2"/>
      <c r="M170" s="5"/>
      <c r="N170" s="6"/>
      <c r="O170" s="5"/>
      <c r="P170" s="5"/>
      <c r="W170" s="7"/>
      <c r="X170" s="7"/>
      <c r="Y170" s="7"/>
      <c r="Z170" s="7"/>
      <c r="AA170" s="7"/>
    </row>
    <row r="171">
      <c r="B171" s="2"/>
      <c r="M171" s="5"/>
      <c r="N171" s="6"/>
      <c r="O171" s="5"/>
      <c r="P171" s="5"/>
      <c r="W171" s="7"/>
      <c r="X171" s="7"/>
      <c r="Y171" s="7"/>
      <c r="Z171" s="7"/>
      <c r="AA171" s="7"/>
    </row>
    <row r="172">
      <c r="B172" s="2"/>
      <c r="M172" s="5"/>
      <c r="N172" s="6"/>
      <c r="O172" s="5"/>
      <c r="P172" s="5"/>
      <c r="W172" s="7"/>
      <c r="X172" s="7"/>
      <c r="Y172" s="7"/>
      <c r="Z172" s="7"/>
      <c r="AA172" s="7"/>
    </row>
    <row r="173">
      <c r="B173" s="2"/>
      <c r="M173" s="5"/>
      <c r="N173" s="6"/>
      <c r="O173" s="5"/>
      <c r="P173" s="5"/>
      <c r="W173" s="7"/>
      <c r="X173" s="7"/>
      <c r="Y173" s="7"/>
      <c r="Z173" s="7"/>
      <c r="AA173" s="7"/>
    </row>
    <row r="174">
      <c r="B174" s="2"/>
      <c r="M174" s="5"/>
      <c r="N174" s="6"/>
      <c r="O174" s="5"/>
      <c r="P174" s="5"/>
      <c r="W174" s="7"/>
      <c r="X174" s="7"/>
      <c r="Y174" s="7"/>
      <c r="Z174" s="7"/>
      <c r="AA174" s="7"/>
    </row>
    <row r="175">
      <c r="B175" s="2"/>
      <c r="M175" s="5"/>
      <c r="N175" s="6"/>
      <c r="O175" s="5"/>
      <c r="P175" s="5"/>
      <c r="W175" s="7"/>
      <c r="X175" s="7"/>
      <c r="Y175" s="7"/>
      <c r="Z175" s="7"/>
      <c r="AA175" s="7"/>
    </row>
    <row r="176">
      <c r="B176" s="2"/>
      <c r="M176" s="5"/>
      <c r="N176" s="6"/>
      <c r="O176" s="5"/>
      <c r="P176" s="5"/>
      <c r="W176" s="7"/>
      <c r="X176" s="7"/>
      <c r="Y176" s="7"/>
      <c r="Z176" s="7"/>
      <c r="AA176" s="7"/>
    </row>
    <row r="177">
      <c r="B177" s="2"/>
      <c r="M177" s="5"/>
      <c r="N177" s="6"/>
      <c r="O177" s="5"/>
      <c r="P177" s="5"/>
      <c r="W177" s="7"/>
      <c r="X177" s="7"/>
      <c r="Y177" s="7"/>
      <c r="Z177" s="7"/>
      <c r="AA177" s="7"/>
    </row>
    <row r="178">
      <c r="B178" s="2"/>
      <c r="M178" s="5"/>
      <c r="N178" s="6"/>
      <c r="O178" s="5"/>
      <c r="P178" s="5"/>
      <c r="W178" s="7"/>
      <c r="X178" s="7"/>
      <c r="Y178" s="7"/>
      <c r="Z178" s="7"/>
      <c r="AA178" s="7"/>
    </row>
    <row r="179">
      <c r="B179" s="2"/>
      <c r="M179" s="5"/>
      <c r="N179" s="6"/>
      <c r="O179" s="5"/>
      <c r="P179" s="5"/>
      <c r="W179" s="7"/>
      <c r="X179" s="7"/>
      <c r="Y179" s="7"/>
      <c r="Z179" s="7"/>
      <c r="AA179" s="7"/>
    </row>
    <row r="180">
      <c r="B180" s="2"/>
      <c r="M180" s="5"/>
      <c r="N180" s="6"/>
      <c r="O180" s="5"/>
      <c r="P180" s="5"/>
      <c r="W180" s="7"/>
      <c r="X180" s="7"/>
      <c r="Y180" s="7"/>
      <c r="Z180" s="7"/>
      <c r="AA180" s="7"/>
    </row>
    <row r="181">
      <c r="B181" s="2"/>
      <c r="M181" s="5"/>
      <c r="N181" s="6"/>
      <c r="O181" s="5"/>
      <c r="P181" s="5"/>
      <c r="W181" s="7"/>
      <c r="X181" s="7"/>
      <c r="Y181" s="7"/>
      <c r="Z181" s="7"/>
      <c r="AA181" s="7"/>
    </row>
    <row r="182">
      <c r="B182" s="2"/>
      <c r="M182" s="5"/>
      <c r="N182" s="6"/>
      <c r="O182" s="5"/>
      <c r="P182" s="5"/>
      <c r="W182" s="7"/>
      <c r="X182" s="7"/>
      <c r="Y182" s="7"/>
      <c r="Z182" s="7"/>
      <c r="AA182" s="7"/>
    </row>
    <row r="183">
      <c r="B183" s="2"/>
      <c r="M183" s="5"/>
      <c r="N183" s="6"/>
      <c r="O183" s="5"/>
      <c r="P183" s="5"/>
      <c r="W183" s="7"/>
      <c r="X183" s="7"/>
      <c r="Y183" s="7"/>
      <c r="Z183" s="7"/>
      <c r="AA183" s="7"/>
    </row>
    <row r="184">
      <c r="B184" s="2"/>
      <c r="M184" s="5"/>
      <c r="N184" s="6"/>
      <c r="O184" s="5"/>
      <c r="P184" s="5"/>
      <c r="W184" s="7"/>
      <c r="X184" s="7"/>
      <c r="Y184" s="7"/>
      <c r="Z184" s="7"/>
      <c r="AA184" s="7"/>
    </row>
    <row r="185">
      <c r="B185" s="2"/>
      <c r="M185" s="5"/>
      <c r="N185" s="6"/>
      <c r="O185" s="5"/>
      <c r="P185" s="5"/>
      <c r="W185" s="7"/>
      <c r="X185" s="7"/>
      <c r="Y185" s="7"/>
      <c r="Z185" s="7"/>
      <c r="AA185" s="7"/>
    </row>
    <row r="186">
      <c r="B186" s="2"/>
      <c r="M186" s="5"/>
      <c r="N186" s="6"/>
      <c r="O186" s="5"/>
      <c r="P186" s="5"/>
      <c r="W186" s="7"/>
      <c r="X186" s="7"/>
      <c r="Y186" s="7"/>
      <c r="Z186" s="7"/>
      <c r="AA186" s="7"/>
    </row>
    <row r="187">
      <c r="B187" s="2"/>
      <c r="M187" s="5"/>
      <c r="N187" s="6"/>
      <c r="O187" s="5"/>
      <c r="P187" s="5"/>
      <c r="W187" s="7"/>
      <c r="X187" s="7"/>
      <c r="Y187" s="7"/>
      <c r="Z187" s="7"/>
      <c r="AA187" s="7"/>
    </row>
    <row r="188">
      <c r="B188" s="2"/>
      <c r="M188" s="5"/>
      <c r="N188" s="6"/>
      <c r="O188" s="5"/>
      <c r="P188" s="5"/>
      <c r="W188" s="7"/>
      <c r="X188" s="7"/>
      <c r="Y188" s="7"/>
      <c r="Z188" s="7"/>
      <c r="AA188" s="7"/>
    </row>
    <row r="189">
      <c r="B189" s="2"/>
      <c r="M189" s="5"/>
      <c r="N189" s="6"/>
      <c r="O189" s="5"/>
      <c r="P189" s="5"/>
      <c r="W189" s="7"/>
      <c r="X189" s="7"/>
      <c r="Y189" s="7"/>
      <c r="Z189" s="7"/>
      <c r="AA189" s="7"/>
    </row>
    <row r="190">
      <c r="B190" s="2"/>
      <c r="M190" s="5"/>
      <c r="N190" s="6"/>
      <c r="O190" s="5"/>
      <c r="P190" s="5"/>
      <c r="W190" s="7"/>
      <c r="X190" s="7"/>
      <c r="Y190" s="7"/>
      <c r="Z190" s="7"/>
      <c r="AA190" s="7"/>
    </row>
    <row r="191">
      <c r="B191" s="2"/>
      <c r="M191" s="5"/>
      <c r="N191" s="6"/>
      <c r="O191" s="5"/>
      <c r="P191" s="5"/>
      <c r="W191" s="7"/>
      <c r="X191" s="7"/>
      <c r="Y191" s="7"/>
      <c r="Z191" s="7"/>
      <c r="AA191" s="7"/>
    </row>
    <row r="192">
      <c r="B192" s="2"/>
      <c r="M192" s="5"/>
      <c r="N192" s="6"/>
      <c r="O192" s="5"/>
      <c r="P192" s="5"/>
      <c r="W192" s="7"/>
      <c r="X192" s="7"/>
      <c r="Y192" s="7"/>
      <c r="Z192" s="7"/>
      <c r="AA192" s="7"/>
    </row>
    <row r="193">
      <c r="B193" s="2"/>
      <c r="M193" s="5"/>
      <c r="N193" s="6"/>
      <c r="O193" s="5"/>
      <c r="P193" s="5"/>
      <c r="W193" s="7"/>
      <c r="X193" s="7"/>
      <c r="Y193" s="7"/>
      <c r="Z193" s="7"/>
      <c r="AA193" s="7"/>
    </row>
    <row r="194">
      <c r="B194" s="2"/>
      <c r="M194" s="5"/>
      <c r="N194" s="6"/>
      <c r="O194" s="5"/>
      <c r="P194" s="5"/>
      <c r="W194" s="7"/>
      <c r="X194" s="7"/>
      <c r="Y194" s="7"/>
      <c r="Z194" s="7"/>
      <c r="AA194" s="7"/>
    </row>
    <row r="195">
      <c r="B195" s="2"/>
      <c r="M195" s="5"/>
      <c r="N195" s="6"/>
      <c r="O195" s="5"/>
      <c r="P195" s="5"/>
      <c r="W195" s="7"/>
      <c r="X195" s="7"/>
      <c r="Y195" s="7"/>
      <c r="Z195" s="7"/>
      <c r="AA195" s="7"/>
    </row>
    <row r="196">
      <c r="B196" s="2"/>
      <c r="M196" s="5"/>
      <c r="N196" s="6"/>
      <c r="O196" s="5"/>
      <c r="P196" s="5"/>
      <c r="W196" s="7"/>
      <c r="X196" s="7"/>
      <c r="Y196" s="7"/>
      <c r="Z196" s="7"/>
      <c r="AA196" s="7"/>
    </row>
    <row r="197">
      <c r="B197" s="2"/>
      <c r="M197" s="5"/>
      <c r="N197" s="6"/>
      <c r="O197" s="5"/>
      <c r="P197" s="5"/>
      <c r="W197" s="7"/>
      <c r="X197" s="7"/>
      <c r="Y197" s="7"/>
      <c r="Z197" s="7"/>
      <c r="AA197" s="7"/>
    </row>
    <row r="198">
      <c r="B198" s="2"/>
      <c r="M198" s="5"/>
      <c r="N198" s="6"/>
      <c r="O198" s="5"/>
      <c r="P198" s="5"/>
      <c r="W198" s="7"/>
      <c r="X198" s="7"/>
      <c r="Y198" s="7"/>
      <c r="Z198" s="7"/>
      <c r="AA198" s="7"/>
    </row>
    <row r="199">
      <c r="B199" s="2"/>
      <c r="M199" s="5"/>
      <c r="N199" s="6"/>
      <c r="O199" s="5"/>
      <c r="P199" s="5"/>
      <c r="W199" s="7"/>
      <c r="X199" s="7"/>
      <c r="Y199" s="7"/>
      <c r="Z199" s="7"/>
      <c r="AA199" s="7"/>
    </row>
    <row r="200">
      <c r="B200" s="2"/>
      <c r="M200" s="5"/>
      <c r="N200" s="6"/>
      <c r="O200" s="5"/>
      <c r="P200" s="5"/>
      <c r="W200" s="7"/>
      <c r="X200" s="7"/>
      <c r="Y200" s="7"/>
      <c r="Z200" s="7"/>
      <c r="AA200" s="7"/>
    </row>
    <row r="201">
      <c r="B201" s="2"/>
      <c r="M201" s="5"/>
      <c r="N201" s="6"/>
      <c r="O201" s="5"/>
      <c r="P201" s="5"/>
      <c r="W201" s="7"/>
      <c r="X201" s="7"/>
      <c r="Y201" s="7"/>
      <c r="Z201" s="7"/>
      <c r="AA201" s="7"/>
    </row>
    <row r="202">
      <c r="B202" s="2"/>
      <c r="M202" s="5"/>
      <c r="N202" s="6"/>
      <c r="O202" s="5"/>
      <c r="P202" s="5"/>
      <c r="W202" s="7"/>
      <c r="X202" s="7"/>
      <c r="Y202" s="7"/>
      <c r="Z202" s="7"/>
      <c r="AA202" s="7"/>
    </row>
    <row r="203">
      <c r="B203" s="2"/>
      <c r="M203" s="5"/>
      <c r="N203" s="6"/>
      <c r="O203" s="5"/>
      <c r="P203" s="5"/>
      <c r="W203" s="7"/>
      <c r="X203" s="7"/>
      <c r="Y203" s="7"/>
      <c r="Z203" s="7"/>
      <c r="AA203" s="7"/>
    </row>
    <row r="204">
      <c r="B204" s="2"/>
      <c r="M204" s="5"/>
      <c r="N204" s="6"/>
      <c r="O204" s="5"/>
      <c r="P204" s="5"/>
      <c r="W204" s="7"/>
      <c r="X204" s="7"/>
      <c r="Y204" s="7"/>
      <c r="Z204" s="7"/>
      <c r="AA204" s="7"/>
    </row>
    <row r="205">
      <c r="B205" s="2"/>
      <c r="M205" s="5"/>
      <c r="N205" s="6"/>
      <c r="O205" s="5"/>
      <c r="P205" s="5"/>
      <c r="W205" s="7"/>
      <c r="X205" s="7"/>
      <c r="Y205" s="7"/>
      <c r="Z205" s="7"/>
      <c r="AA205" s="7"/>
    </row>
    <row r="206">
      <c r="B206" s="2"/>
      <c r="M206" s="5"/>
      <c r="N206" s="6"/>
      <c r="O206" s="5"/>
      <c r="P206" s="5"/>
      <c r="W206" s="7"/>
      <c r="X206" s="7"/>
      <c r="Y206" s="7"/>
      <c r="Z206" s="7"/>
      <c r="AA206" s="7"/>
    </row>
    <row r="207">
      <c r="B207" s="2"/>
      <c r="M207" s="5"/>
      <c r="N207" s="6"/>
      <c r="O207" s="5"/>
      <c r="P207" s="5"/>
      <c r="W207" s="7"/>
      <c r="X207" s="7"/>
      <c r="Y207" s="7"/>
      <c r="Z207" s="7"/>
      <c r="AA207" s="7"/>
    </row>
    <row r="208">
      <c r="B208" s="2"/>
      <c r="M208" s="5"/>
      <c r="N208" s="6"/>
      <c r="O208" s="5"/>
      <c r="P208" s="5"/>
      <c r="W208" s="7"/>
      <c r="X208" s="7"/>
      <c r="Y208" s="7"/>
      <c r="Z208" s="7"/>
      <c r="AA208" s="7"/>
    </row>
    <row r="209">
      <c r="B209" s="2"/>
      <c r="M209" s="5"/>
      <c r="N209" s="6"/>
      <c r="O209" s="5"/>
      <c r="P209" s="5"/>
      <c r="W209" s="7"/>
      <c r="X209" s="7"/>
      <c r="Y209" s="7"/>
      <c r="Z209" s="7"/>
      <c r="AA209" s="7"/>
    </row>
    <row r="210">
      <c r="B210" s="2"/>
      <c r="M210" s="5"/>
      <c r="N210" s="6"/>
      <c r="O210" s="5"/>
      <c r="P210" s="5"/>
      <c r="W210" s="7"/>
      <c r="X210" s="7"/>
      <c r="Y210" s="7"/>
      <c r="Z210" s="7"/>
      <c r="AA210" s="7"/>
    </row>
    <row r="211">
      <c r="B211" s="2"/>
      <c r="M211" s="5"/>
      <c r="N211" s="6"/>
      <c r="O211" s="5"/>
      <c r="P211" s="5"/>
      <c r="W211" s="7"/>
      <c r="X211" s="7"/>
      <c r="Y211" s="7"/>
      <c r="Z211" s="7"/>
      <c r="AA211" s="7"/>
    </row>
    <row r="212">
      <c r="B212" s="2"/>
      <c r="M212" s="5"/>
      <c r="N212" s="6"/>
      <c r="O212" s="5"/>
      <c r="P212" s="5"/>
      <c r="W212" s="7"/>
      <c r="X212" s="7"/>
      <c r="Y212" s="7"/>
      <c r="Z212" s="7"/>
      <c r="AA212" s="7"/>
    </row>
    <row r="213">
      <c r="B213" s="2"/>
      <c r="M213" s="5"/>
      <c r="N213" s="6"/>
      <c r="O213" s="5"/>
      <c r="P213" s="5"/>
      <c r="W213" s="7"/>
      <c r="X213" s="7"/>
      <c r="Y213" s="7"/>
      <c r="Z213" s="7"/>
      <c r="AA213" s="7"/>
    </row>
    <row r="214">
      <c r="B214" s="2"/>
      <c r="M214" s="5"/>
      <c r="N214" s="6"/>
      <c r="O214" s="5"/>
      <c r="P214" s="5"/>
      <c r="W214" s="7"/>
      <c r="X214" s="7"/>
      <c r="Y214" s="7"/>
      <c r="Z214" s="7"/>
      <c r="AA214" s="7"/>
    </row>
    <row r="215">
      <c r="B215" s="2"/>
      <c r="M215" s="5"/>
      <c r="N215" s="6"/>
      <c r="O215" s="5"/>
      <c r="P215" s="5"/>
      <c r="W215" s="7"/>
      <c r="X215" s="7"/>
      <c r="Y215" s="7"/>
      <c r="Z215" s="7"/>
      <c r="AA215" s="7"/>
    </row>
    <row r="216">
      <c r="B216" s="2"/>
      <c r="M216" s="5"/>
      <c r="N216" s="6"/>
      <c r="O216" s="5"/>
      <c r="P216" s="5"/>
      <c r="W216" s="7"/>
      <c r="X216" s="7"/>
      <c r="Y216" s="7"/>
      <c r="Z216" s="7"/>
      <c r="AA216" s="7"/>
    </row>
    <row r="217">
      <c r="B217" s="2"/>
      <c r="M217" s="5"/>
      <c r="N217" s="6"/>
      <c r="O217" s="5"/>
      <c r="P217" s="5"/>
      <c r="W217" s="7"/>
      <c r="X217" s="7"/>
      <c r="Y217" s="7"/>
      <c r="Z217" s="7"/>
      <c r="AA217" s="7"/>
    </row>
    <row r="218">
      <c r="B218" s="2"/>
      <c r="M218" s="5"/>
      <c r="N218" s="6"/>
      <c r="O218" s="5"/>
      <c r="P218" s="5"/>
      <c r="W218" s="7"/>
      <c r="X218" s="7"/>
      <c r="Y218" s="7"/>
      <c r="Z218" s="7"/>
      <c r="AA218" s="7"/>
    </row>
    <row r="219">
      <c r="B219" s="2"/>
      <c r="M219" s="5"/>
      <c r="N219" s="6"/>
      <c r="O219" s="5"/>
      <c r="P219" s="5"/>
      <c r="W219" s="7"/>
      <c r="X219" s="7"/>
      <c r="Y219" s="7"/>
      <c r="Z219" s="7"/>
      <c r="AA219" s="7"/>
    </row>
    <row r="220">
      <c r="B220" s="2"/>
      <c r="M220" s="5"/>
      <c r="N220" s="6"/>
      <c r="O220" s="5"/>
      <c r="P220" s="5"/>
      <c r="W220" s="7"/>
      <c r="X220" s="7"/>
      <c r="Y220" s="7"/>
      <c r="Z220" s="7"/>
      <c r="AA220" s="7"/>
    </row>
    <row r="221">
      <c r="B221" s="2"/>
      <c r="M221" s="5"/>
      <c r="N221" s="6"/>
      <c r="O221" s="5"/>
      <c r="P221" s="5"/>
      <c r="W221" s="7"/>
      <c r="X221" s="7"/>
      <c r="Y221" s="7"/>
      <c r="Z221" s="7"/>
      <c r="AA221" s="7"/>
    </row>
    <row r="222">
      <c r="B222" s="2"/>
      <c r="M222" s="5"/>
      <c r="N222" s="6"/>
      <c r="O222" s="5"/>
      <c r="P222" s="5"/>
      <c r="W222" s="7"/>
      <c r="X222" s="7"/>
      <c r="Y222" s="7"/>
      <c r="Z222" s="7"/>
      <c r="AA222" s="7"/>
    </row>
    <row r="223">
      <c r="B223" s="2"/>
      <c r="M223" s="5"/>
      <c r="N223" s="6"/>
      <c r="O223" s="5"/>
      <c r="P223" s="5"/>
      <c r="W223" s="7"/>
      <c r="X223" s="7"/>
      <c r="Y223" s="7"/>
      <c r="Z223" s="7"/>
      <c r="AA223" s="7"/>
    </row>
    <row r="224">
      <c r="B224" s="2"/>
      <c r="M224" s="5"/>
      <c r="N224" s="6"/>
      <c r="O224" s="5"/>
      <c r="P224" s="5"/>
      <c r="W224" s="7"/>
      <c r="X224" s="7"/>
      <c r="Y224" s="7"/>
      <c r="Z224" s="7"/>
      <c r="AA224" s="7"/>
    </row>
    <row r="225">
      <c r="B225" s="2"/>
      <c r="M225" s="5"/>
      <c r="N225" s="6"/>
      <c r="O225" s="5"/>
      <c r="P225" s="5"/>
      <c r="W225" s="7"/>
      <c r="X225" s="7"/>
      <c r="Y225" s="7"/>
      <c r="Z225" s="7"/>
      <c r="AA225" s="7"/>
    </row>
    <row r="226">
      <c r="B226" s="2"/>
      <c r="M226" s="5"/>
      <c r="N226" s="6"/>
      <c r="O226" s="5"/>
      <c r="P226" s="5"/>
      <c r="W226" s="7"/>
      <c r="X226" s="7"/>
      <c r="Y226" s="7"/>
      <c r="Z226" s="7"/>
      <c r="AA226" s="7"/>
    </row>
    <row r="227">
      <c r="B227" s="2"/>
      <c r="M227" s="5"/>
      <c r="N227" s="6"/>
      <c r="O227" s="5"/>
      <c r="P227" s="5"/>
      <c r="W227" s="7"/>
      <c r="X227" s="7"/>
      <c r="Y227" s="7"/>
      <c r="Z227" s="7"/>
      <c r="AA227" s="7"/>
    </row>
    <row r="228">
      <c r="B228" s="2"/>
      <c r="M228" s="5"/>
      <c r="N228" s="6"/>
      <c r="O228" s="5"/>
      <c r="P228" s="5"/>
      <c r="W228" s="7"/>
      <c r="X228" s="7"/>
      <c r="Y228" s="7"/>
      <c r="Z228" s="7"/>
      <c r="AA228" s="7"/>
    </row>
    <row r="229">
      <c r="B229" s="2"/>
      <c r="M229" s="5"/>
      <c r="N229" s="6"/>
      <c r="O229" s="5"/>
      <c r="P229" s="5"/>
      <c r="W229" s="7"/>
      <c r="X229" s="7"/>
      <c r="Y229" s="7"/>
      <c r="Z229" s="7"/>
      <c r="AA229" s="7"/>
    </row>
    <row r="230">
      <c r="B230" s="2"/>
      <c r="M230" s="5"/>
      <c r="N230" s="6"/>
      <c r="O230" s="5"/>
      <c r="P230" s="5"/>
      <c r="W230" s="7"/>
      <c r="X230" s="7"/>
      <c r="Y230" s="7"/>
      <c r="Z230" s="7"/>
      <c r="AA230" s="7"/>
    </row>
    <row r="231">
      <c r="B231" s="2"/>
      <c r="M231" s="5"/>
      <c r="N231" s="6"/>
      <c r="O231" s="5"/>
      <c r="P231" s="5"/>
      <c r="W231" s="7"/>
      <c r="X231" s="7"/>
      <c r="Y231" s="7"/>
      <c r="Z231" s="7"/>
      <c r="AA231" s="7"/>
    </row>
    <row r="232">
      <c r="B232" s="2"/>
      <c r="M232" s="5"/>
      <c r="N232" s="6"/>
      <c r="O232" s="5"/>
      <c r="P232" s="5"/>
      <c r="W232" s="7"/>
      <c r="X232" s="7"/>
      <c r="Y232" s="7"/>
      <c r="Z232" s="7"/>
      <c r="AA232" s="7"/>
    </row>
    <row r="233">
      <c r="B233" s="2"/>
      <c r="M233" s="5"/>
      <c r="N233" s="6"/>
      <c r="O233" s="5"/>
      <c r="P233" s="5"/>
      <c r="W233" s="7"/>
      <c r="X233" s="7"/>
      <c r="Y233" s="7"/>
      <c r="Z233" s="7"/>
      <c r="AA233" s="7"/>
    </row>
    <row r="234">
      <c r="B234" s="2"/>
      <c r="M234" s="5"/>
      <c r="N234" s="6"/>
      <c r="O234" s="5"/>
      <c r="P234" s="5"/>
      <c r="W234" s="7"/>
      <c r="X234" s="7"/>
      <c r="Y234" s="7"/>
      <c r="Z234" s="7"/>
      <c r="AA234" s="7"/>
    </row>
    <row r="235">
      <c r="B235" s="2"/>
      <c r="M235" s="5"/>
      <c r="N235" s="6"/>
      <c r="O235" s="5"/>
      <c r="P235" s="5"/>
      <c r="W235" s="7"/>
      <c r="X235" s="7"/>
      <c r="Y235" s="7"/>
      <c r="Z235" s="7"/>
      <c r="AA235" s="7"/>
    </row>
    <row r="236">
      <c r="B236" s="2"/>
      <c r="M236" s="5"/>
      <c r="N236" s="6"/>
      <c r="O236" s="5"/>
      <c r="P236" s="5"/>
      <c r="W236" s="7"/>
      <c r="X236" s="7"/>
      <c r="Y236" s="7"/>
      <c r="Z236" s="7"/>
      <c r="AA236" s="7"/>
    </row>
    <row r="237">
      <c r="B237" s="2"/>
      <c r="M237" s="5"/>
      <c r="N237" s="6"/>
      <c r="O237" s="5"/>
      <c r="P237" s="5"/>
      <c r="W237" s="7"/>
      <c r="X237" s="7"/>
      <c r="Y237" s="7"/>
      <c r="Z237" s="7"/>
      <c r="AA237" s="7"/>
    </row>
    <row r="238">
      <c r="B238" s="2"/>
      <c r="M238" s="5"/>
      <c r="N238" s="6"/>
      <c r="O238" s="5"/>
      <c r="P238" s="5"/>
      <c r="W238" s="7"/>
      <c r="X238" s="7"/>
      <c r="Y238" s="7"/>
      <c r="Z238" s="7"/>
      <c r="AA238" s="7"/>
    </row>
    <row r="239">
      <c r="B239" s="2"/>
      <c r="M239" s="5"/>
      <c r="N239" s="6"/>
      <c r="O239" s="5"/>
      <c r="P239" s="5"/>
      <c r="W239" s="7"/>
      <c r="X239" s="7"/>
      <c r="Y239" s="7"/>
      <c r="Z239" s="7"/>
      <c r="AA239" s="7"/>
    </row>
    <row r="240">
      <c r="B240" s="2"/>
      <c r="M240" s="5"/>
      <c r="N240" s="6"/>
      <c r="O240" s="5"/>
      <c r="P240" s="5"/>
      <c r="W240" s="7"/>
      <c r="X240" s="7"/>
      <c r="Y240" s="7"/>
      <c r="Z240" s="7"/>
      <c r="AA240" s="7"/>
    </row>
    <row r="241">
      <c r="B241" s="2"/>
      <c r="M241" s="5"/>
      <c r="N241" s="6"/>
      <c r="O241" s="5"/>
      <c r="P241" s="5"/>
      <c r="W241" s="7"/>
      <c r="X241" s="7"/>
      <c r="Y241" s="7"/>
      <c r="Z241" s="7"/>
      <c r="AA241" s="7"/>
    </row>
    <row r="242">
      <c r="B242" s="2"/>
      <c r="M242" s="5"/>
      <c r="N242" s="6"/>
      <c r="O242" s="5"/>
      <c r="P242" s="5"/>
      <c r="W242" s="7"/>
      <c r="X242" s="7"/>
      <c r="Y242" s="7"/>
      <c r="Z242" s="7"/>
      <c r="AA242" s="7"/>
    </row>
    <row r="243">
      <c r="B243" s="2"/>
      <c r="M243" s="5"/>
      <c r="N243" s="6"/>
      <c r="O243" s="5"/>
      <c r="P243" s="5"/>
      <c r="W243" s="7"/>
      <c r="X243" s="7"/>
      <c r="Y243" s="7"/>
      <c r="Z243" s="7"/>
      <c r="AA243" s="7"/>
    </row>
    <row r="244">
      <c r="B244" s="2"/>
      <c r="M244" s="5"/>
      <c r="N244" s="6"/>
      <c r="O244" s="5"/>
      <c r="P244" s="5"/>
      <c r="W244" s="7"/>
      <c r="X244" s="7"/>
      <c r="Y244" s="7"/>
      <c r="Z244" s="7"/>
      <c r="AA244" s="7"/>
    </row>
    <row r="245">
      <c r="B245" s="2"/>
      <c r="M245" s="5"/>
      <c r="N245" s="6"/>
      <c r="O245" s="5"/>
      <c r="P245" s="5"/>
      <c r="W245" s="7"/>
      <c r="X245" s="7"/>
      <c r="Y245" s="7"/>
      <c r="Z245" s="7"/>
      <c r="AA245" s="7"/>
    </row>
    <row r="246">
      <c r="B246" s="2"/>
      <c r="M246" s="5"/>
      <c r="N246" s="6"/>
      <c r="O246" s="5"/>
      <c r="P246" s="5"/>
      <c r="W246" s="7"/>
      <c r="X246" s="7"/>
      <c r="Y246" s="7"/>
      <c r="Z246" s="7"/>
      <c r="AA246" s="7"/>
    </row>
    <row r="247">
      <c r="B247" s="2"/>
      <c r="M247" s="5"/>
      <c r="N247" s="6"/>
      <c r="O247" s="5"/>
      <c r="P247" s="5"/>
      <c r="W247" s="7"/>
      <c r="X247" s="7"/>
      <c r="Y247" s="7"/>
      <c r="Z247" s="7"/>
      <c r="AA247" s="7"/>
    </row>
    <row r="248">
      <c r="B248" s="2"/>
      <c r="M248" s="5"/>
      <c r="N248" s="6"/>
      <c r="O248" s="5"/>
      <c r="P248" s="5"/>
      <c r="W248" s="7"/>
      <c r="X248" s="7"/>
      <c r="Y248" s="7"/>
      <c r="Z248" s="7"/>
      <c r="AA248" s="7"/>
    </row>
    <row r="249">
      <c r="B249" s="2"/>
      <c r="M249" s="5"/>
      <c r="N249" s="6"/>
      <c r="O249" s="5"/>
      <c r="P249" s="5"/>
      <c r="W249" s="7"/>
      <c r="X249" s="7"/>
      <c r="Y249" s="7"/>
      <c r="Z249" s="7"/>
      <c r="AA249" s="7"/>
    </row>
    <row r="250">
      <c r="B250" s="2"/>
      <c r="M250" s="5"/>
      <c r="N250" s="6"/>
      <c r="O250" s="5"/>
      <c r="P250" s="5"/>
      <c r="W250" s="7"/>
      <c r="X250" s="7"/>
      <c r="Y250" s="7"/>
      <c r="Z250" s="7"/>
      <c r="AA250" s="7"/>
    </row>
    <row r="251">
      <c r="B251" s="2"/>
      <c r="M251" s="5"/>
      <c r="N251" s="6"/>
      <c r="O251" s="5"/>
      <c r="P251" s="5"/>
      <c r="W251" s="7"/>
      <c r="X251" s="7"/>
      <c r="Y251" s="7"/>
      <c r="Z251" s="7"/>
      <c r="AA251" s="7"/>
    </row>
    <row r="252">
      <c r="B252" s="2"/>
      <c r="M252" s="5"/>
      <c r="N252" s="6"/>
      <c r="O252" s="5"/>
      <c r="P252" s="5"/>
      <c r="W252" s="7"/>
      <c r="X252" s="7"/>
      <c r="Y252" s="7"/>
      <c r="Z252" s="7"/>
      <c r="AA252" s="7"/>
    </row>
    <row r="253">
      <c r="B253" s="2"/>
      <c r="M253" s="5"/>
      <c r="N253" s="6"/>
      <c r="O253" s="5"/>
      <c r="P253" s="5"/>
      <c r="W253" s="7"/>
      <c r="X253" s="7"/>
      <c r="Y253" s="7"/>
      <c r="Z253" s="7"/>
      <c r="AA253" s="7"/>
    </row>
    <row r="254">
      <c r="B254" s="2"/>
      <c r="M254" s="5"/>
      <c r="N254" s="6"/>
      <c r="O254" s="5"/>
      <c r="P254" s="5"/>
      <c r="W254" s="7"/>
      <c r="X254" s="7"/>
      <c r="Y254" s="7"/>
      <c r="Z254" s="7"/>
      <c r="AA254" s="7"/>
    </row>
    <row r="255">
      <c r="B255" s="2"/>
      <c r="M255" s="5"/>
      <c r="N255" s="6"/>
      <c r="O255" s="5"/>
      <c r="P255" s="5"/>
      <c r="W255" s="7"/>
      <c r="X255" s="7"/>
      <c r="Y255" s="7"/>
      <c r="Z255" s="7"/>
      <c r="AA255" s="7"/>
    </row>
    <row r="256">
      <c r="B256" s="2"/>
      <c r="M256" s="5"/>
      <c r="N256" s="6"/>
      <c r="O256" s="5"/>
      <c r="P256" s="5"/>
      <c r="W256" s="7"/>
      <c r="X256" s="7"/>
      <c r="Y256" s="7"/>
      <c r="Z256" s="7"/>
      <c r="AA256" s="7"/>
    </row>
    <row r="257">
      <c r="B257" s="2"/>
      <c r="M257" s="5"/>
      <c r="N257" s="6"/>
      <c r="O257" s="5"/>
      <c r="P257" s="5"/>
      <c r="W257" s="7"/>
      <c r="X257" s="7"/>
      <c r="Y257" s="7"/>
      <c r="Z257" s="7"/>
      <c r="AA257" s="7"/>
    </row>
    <row r="258">
      <c r="B258" s="2"/>
      <c r="M258" s="5"/>
      <c r="N258" s="6"/>
      <c r="O258" s="5"/>
      <c r="P258" s="5"/>
      <c r="W258" s="7"/>
      <c r="X258" s="7"/>
      <c r="Y258" s="7"/>
      <c r="Z258" s="7"/>
      <c r="AA258" s="7"/>
    </row>
    <row r="259">
      <c r="B259" s="2"/>
      <c r="M259" s="5"/>
      <c r="N259" s="6"/>
      <c r="O259" s="5"/>
      <c r="P259" s="5"/>
      <c r="W259" s="7"/>
      <c r="X259" s="7"/>
      <c r="Y259" s="7"/>
      <c r="Z259" s="7"/>
      <c r="AA259" s="7"/>
    </row>
    <row r="260">
      <c r="B260" s="2"/>
      <c r="M260" s="5"/>
      <c r="N260" s="6"/>
      <c r="O260" s="5"/>
      <c r="P260" s="5"/>
      <c r="W260" s="7"/>
      <c r="X260" s="7"/>
      <c r="Y260" s="7"/>
      <c r="Z260" s="7"/>
      <c r="AA260" s="7"/>
    </row>
    <row r="261">
      <c r="B261" s="2"/>
      <c r="M261" s="5"/>
      <c r="N261" s="6"/>
      <c r="O261" s="5"/>
      <c r="P261" s="5"/>
      <c r="W261" s="7"/>
      <c r="X261" s="7"/>
      <c r="Y261" s="7"/>
      <c r="Z261" s="7"/>
      <c r="AA261" s="7"/>
    </row>
    <row r="262">
      <c r="B262" s="2"/>
      <c r="M262" s="5"/>
      <c r="N262" s="6"/>
      <c r="O262" s="5"/>
      <c r="P262" s="5"/>
      <c r="W262" s="7"/>
      <c r="X262" s="7"/>
      <c r="Y262" s="7"/>
      <c r="Z262" s="7"/>
      <c r="AA262" s="7"/>
    </row>
    <row r="263">
      <c r="B263" s="2"/>
      <c r="M263" s="5"/>
      <c r="N263" s="6"/>
      <c r="O263" s="5"/>
      <c r="P263" s="5"/>
      <c r="W263" s="7"/>
      <c r="X263" s="7"/>
      <c r="Y263" s="7"/>
      <c r="Z263" s="7"/>
      <c r="AA263" s="7"/>
    </row>
    <row r="264">
      <c r="B264" s="2"/>
      <c r="M264" s="5"/>
      <c r="N264" s="6"/>
      <c r="O264" s="5"/>
      <c r="P264" s="5"/>
      <c r="W264" s="7"/>
      <c r="X264" s="7"/>
      <c r="Y264" s="7"/>
      <c r="Z264" s="7"/>
      <c r="AA264" s="7"/>
    </row>
    <row r="265">
      <c r="B265" s="2"/>
      <c r="M265" s="5"/>
      <c r="N265" s="6"/>
      <c r="O265" s="5"/>
      <c r="P265" s="5"/>
      <c r="W265" s="7"/>
      <c r="X265" s="7"/>
      <c r="Y265" s="7"/>
      <c r="Z265" s="7"/>
      <c r="AA265" s="7"/>
    </row>
    <row r="266">
      <c r="B266" s="2"/>
      <c r="M266" s="5"/>
      <c r="N266" s="6"/>
      <c r="O266" s="5"/>
      <c r="P266" s="5"/>
      <c r="W266" s="7"/>
      <c r="X266" s="7"/>
      <c r="Y266" s="7"/>
      <c r="Z266" s="7"/>
      <c r="AA266" s="7"/>
    </row>
    <row r="267">
      <c r="B267" s="2"/>
      <c r="M267" s="5"/>
      <c r="N267" s="6"/>
      <c r="O267" s="5"/>
      <c r="P267" s="5"/>
      <c r="W267" s="7"/>
      <c r="X267" s="7"/>
      <c r="Y267" s="7"/>
      <c r="Z267" s="7"/>
      <c r="AA267" s="7"/>
    </row>
    <row r="268">
      <c r="B268" s="2"/>
      <c r="M268" s="5"/>
      <c r="N268" s="6"/>
      <c r="O268" s="5"/>
      <c r="P268" s="5"/>
      <c r="W268" s="7"/>
      <c r="X268" s="7"/>
      <c r="Y268" s="7"/>
      <c r="Z268" s="7"/>
      <c r="AA268" s="7"/>
    </row>
    <row r="269">
      <c r="B269" s="2"/>
      <c r="M269" s="5"/>
      <c r="N269" s="6"/>
      <c r="O269" s="5"/>
      <c r="P269" s="5"/>
      <c r="W269" s="7"/>
      <c r="X269" s="7"/>
      <c r="Y269" s="7"/>
      <c r="Z269" s="7"/>
      <c r="AA269" s="7"/>
    </row>
    <row r="270">
      <c r="B270" s="2"/>
      <c r="M270" s="5"/>
      <c r="N270" s="6"/>
      <c r="O270" s="5"/>
      <c r="P270" s="5"/>
      <c r="W270" s="7"/>
      <c r="X270" s="7"/>
      <c r="Y270" s="7"/>
      <c r="Z270" s="7"/>
      <c r="AA270" s="7"/>
    </row>
    <row r="271">
      <c r="B271" s="2"/>
      <c r="M271" s="5"/>
      <c r="N271" s="6"/>
      <c r="O271" s="5"/>
      <c r="P271" s="5"/>
      <c r="W271" s="7"/>
      <c r="X271" s="7"/>
      <c r="Y271" s="7"/>
      <c r="Z271" s="7"/>
      <c r="AA271" s="7"/>
    </row>
    <row r="272">
      <c r="B272" s="2"/>
      <c r="M272" s="5"/>
      <c r="N272" s="6"/>
      <c r="O272" s="5"/>
      <c r="P272" s="5"/>
      <c r="W272" s="7"/>
      <c r="X272" s="7"/>
      <c r="Y272" s="7"/>
      <c r="Z272" s="7"/>
      <c r="AA272" s="7"/>
    </row>
    <row r="273">
      <c r="B273" s="2"/>
      <c r="M273" s="5"/>
      <c r="N273" s="6"/>
      <c r="O273" s="5"/>
      <c r="P273" s="5"/>
      <c r="W273" s="7"/>
      <c r="X273" s="7"/>
      <c r="Y273" s="7"/>
      <c r="Z273" s="7"/>
      <c r="AA273" s="7"/>
    </row>
    <row r="274">
      <c r="B274" s="2"/>
      <c r="M274" s="5"/>
      <c r="N274" s="6"/>
      <c r="O274" s="5"/>
      <c r="P274" s="5"/>
      <c r="W274" s="7"/>
      <c r="X274" s="7"/>
      <c r="Y274" s="7"/>
      <c r="Z274" s="7"/>
      <c r="AA274" s="7"/>
    </row>
    <row r="275">
      <c r="B275" s="2"/>
      <c r="M275" s="5"/>
      <c r="N275" s="6"/>
      <c r="O275" s="5"/>
      <c r="P275" s="5"/>
      <c r="W275" s="7"/>
      <c r="X275" s="7"/>
      <c r="Y275" s="7"/>
      <c r="Z275" s="7"/>
      <c r="AA275" s="7"/>
    </row>
    <row r="276">
      <c r="B276" s="2"/>
      <c r="M276" s="5"/>
      <c r="N276" s="6"/>
      <c r="O276" s="5"/>
      <c r="P276" s="5"/>
      <c r="W276" s="7"/>
      <c r="X276" s="7"/>
      <c r="Y276" s="7"/>
      <c r="Z276" s="7"/>
      <c r="AA276" s="7"/>
    </row>
    <row r="277">
      <c r="B277" s="2"/>
      <c r="M277" s="5"/>
      <c r="N277" s="6"/>
      <c r="O277" s="5"/>
      <c r="P277" s="5"/>
      <c r="W277" s="7"/>
      <c r="X277" s="7"/>
      <c r="Y277" s="7"/>
      <c r="Z277" s="7"/>
      <c r="AA277" s="7"/>
    </row>
    <row r="278">
      <c r="B278" s="2"/>
      <c r="M278" s="5"/>
      <c r="N278" s="6"/>
      <c r="O278" s="5"/>
      <c r="P278" s="5"/>
      <c r="W278" s="7"/>
      <c r="X278" s="7"/>
      <c r="Y278" s="7"/>
      <c r="Z278" s="7"/>
      <c r="AA278" s="7"/>
    </row>
    <row r="279">
      <c r="B279" s="2"/>
      <c r="M279" s="5"/>
      <c r="N279" s="6"/>
      <c r="O279" s="5"/>
      <c r="P279" s="5"/>
      <c r="W279" s="7"/>
      <c r="X279" s="7"/>
      <c r="Y279" s="7"/>
      <c r="Z279" s="7"/>
      <c r="AA279" s="7"/>
    </row>
    <row r="280">
      <c r="B280" s="2"/>
      <c r="M280" s="5"/>
      <c r="N280" s="6"/>
      <c r="O280" s="5"/>
      <c r="P280" s="5"/>
      <c r="W280" s="7"/>
      <c r="X280" s="7"/>
      <c r="Y280" s="7"/>
      <c r="Z280" s="7"/>
      <c r="AA280" s="7"/>
    </row>
    <row r="281">
      <c r="B281" s="2"/>
      <c r="M281" s="5"/>
      <c r="N281" s="6"/>
      <c r="O281" s="5"/>
      <c r="P281" s="5"/>
      <c r="W281" s="7"/>
      <c r="X281" s="7"/>
      <c r="Y281" s="7"/>
      <c r="Z281" s="7"/>
      <c r="AA281" s="7"/>
    </row>
    <row r="282">
      <c r="B282" s="2"/>
      <c r="M282" s="5"/>
      <c r="N282" s="6"/>
      <c r="O282" s="5"/>
      <c r="P282" s="5"/>
      <c r="W282" s="7"/>
      <c r="X282" s="7"/>
      <c r="Y282" s="7"/>
      <c r="Z282" s="7"/>
      <c r="AA282" s="7"/>
    </row>
    <row r="283">
      <c r="B283" s="2"/>
      <c r="M283" s="5"/>
      <c r="N283" s="6"/>
      <c r="O283" s="5"/>
      <c r="P283" s="5"/>
      <c r="W283" s="7"/>
      <c r="X283" s="7"/>
      <c r="Y283" s="7"/>
      <c r="Z283" s="7"/>
      <c r="AA283" s="7"/>
    </row>
    <row r="284">
      <c r="B284" s="2"/>
      <c r="M284" s="5"/>
      <c r="N284" s="6"/>
      <c r="O284" s="5"/>
      <c r="P284" s="5"/>
      <c r="W284" s="7"/>
      <c r="X284" s="7"/>
      <c r="Y284" s="7"/>
      <c r="Z284" s="7"/>
      <c r="AA284" s="7"/>
    </row>
    <row r="285">
      <c r="B285" s="2"/>
      <c r="M285" s="5"/>
      <c r="N285" s="6"/>
      <c r="O285" s="5"/>
      <c r="P285" s="5"/>
      <c r="W285" s="7"/>
      <c r="X285" s="7"/>
      <c r="Y285" s="7"/>
      <c r="Z285" s="7"/>
      <c r="AA285" s="7"/>
    </row>
    <row r="286">
      <c r="B286" s="2"/>
      <c r="M286" s="5"/>
      <c r="N286" s="6"/>
      <c r="O286" s="5"/>
      <c r="P286" s="5"/>
      <c r="W286" s="7"/>
      <c r="X286" s="7"/>
      <c r="Y286" s="7"/>
      <c r="Z286" s="7"/>
      <c r="AA286" s="7"/>
    </row>
    <row r="287">
      <c r="B287" s="2"/>
      <c r="M287" s="5"/>
      <c r="N287" s="6"/>
      <c r="O287" s="5"/>
      <c r="P287" s="5"/>
      <c r="W287" s="7"/>
      <c r="X287" s="7"/>
      <c r="Y287" s="7"/>
      <c r="Z287" s="7"/>
      <c r="AA287" s="7"/>
    </row>
    <row r="288">
      <c r="B288" s="2"/>
      <c r="M288" s="5"/>
      <c r="N288" s="6"/>
      <c r="O288" s="5"/>
      <c r="P288" s="5"/>
      <c r="W288" s="7"/>
      <c r="X288" s="7"/>
      <c r="Y288" s="7"/>
      <c r="Z288" s="7"/>
      <c r="AA288" s="7"/>
    </row>
    <row r="289">
      <c r="B289" s="2"/>
      <c r="M289" s="5"/>
      <c r="N289" s="6"/>
      <c r="O289" s="5"/>
      <c r="P289" s="5"/>
      <c r="W289" s="7"/>
      <c r="X289" s="7"/>
      <c r="Y289" s="7"/>
      <c r="Z289" s="7"/>
      <c r="AA289" s="7"/>
    </row>
    <row r="290">
      <c r="B290" s="2"/>
      <c r="M290" s="5"/>
      <c r="N290" s="6"/>
      <c r="O290" s="5"/>
      <c r="P290" s="5"/>
      <c r="W290" s="7"/>
      <c r="X290" s="7"/>
      <c r="Y290" s="7"/>
      <c r="Z290" s="7"/>
      <c r="AA290" s="7"/>
    </row>
    <row r="291">
      <c r="B291" s="2"/>
      <c r="M291" s="5"/>
      <c r="N291" s="6"/>
      <c r="O291" s="5"/>
      <c r="P291" s="5"/>
      <c r="W291" s="7"/>
      <c r="X291" s="7"/>
      <c r="Y291" s="7"/>
      <c r="Z291" s="7"/>
      <c r="AA291" s="7"/>
    </row>
    <row r="292">
      <c r="B292" s="2"/>
      <c r="M292" s="5"/>
      <c r="N292" s="6"/>
      <c r="O292" s="5"/>
      <c r="P292" s="5"/>
      <c r="W292" s="7"/>
      <c r="X292" s="7"/>
      <c r="Y292" s="7"/>
      <c r="Z292" s="7"/>
      <c r="AA292" s="7"/>
    </row>
    <row r="293">
      <c r="B293" s="2"/>
      <c r="M293" s="5"/>
      <c r="N293" s="6"/>
      <c r="O293" s="5"/>
      <c r="P293" s="5"/>
      <c r="W293" s="7"/>
      <c r="X293" s="7"/>
      <c r="Y293" s="7"/>
      <c r="Z293" s="7"/>
      <c r="AA293" s="7"/>
    </row>
    <row r="294">
      <c r="B294" s="2"/>
      <c r="M294" s="5"/>
      <c r="N294" s="6"/>
      <c r="O294" s="5"/>
      <c r="P294" s="5"/>
      <c r="W294" s="7"/>
      <c r="X294" s="7"/>
      <c r="Y294" s="7"/>
      <c r="Z294" s="7"/>
      <c r="AA294" s="7"/>
    </row>
    <row r="295">
      <c r="B295" s="2"/>
      <c r="M295" s="5"/>
      <c r="N295" s="6"/>
      <c r="O295" s="5"/>
      <c r="P295" s="5"/>
      <c r="W295" s="7"/>
      <c r="X295" s="7"/>
      <c r="Y295" s="7"/>
      <c r="Z295" s="7"/>
      <c r="AA295" s="7"/>
    </row>
    <row r="296">
      <c r="B296" s="2"/>
      <c r="M296" s="5"/>
      <c r="N296" s="6"/>
      <c r="O296" s="5"/>
      <c r="P296" s="5"/>
      <c r="W296" s="7"/>
      <c r="X296" s="7"/>
      <c r="Y296" s="7"/>
      <c r="Z296" s="7"/>
      <c r="AA296" s="7"/>
    </row>
    <row r="297">
      <c r="B297" s="2"/>
      <c r="M297" s="5"/>
      <c r="N297" s="6"/>
      <c r="O297" s="5"/>
      <c r="P297" s="5"/>
      <c r="W297" s="7"/>
      <c r="X297" s="7"/>
      <c r="Y297" s="7"/>
      <c r="Z297" s="7"/>
      <c r="AA297" s="7"/>
    </row>
    <row r="298">
      <c r="B298" s="2"/>
      <c r="M298" s="5"/>
      <c r="N298" s="6"/>
      <c r="O298" s="5"/>
      <c r="P298" s="5"/>
      <c r="W298" s="7"/>
      <c r="X298" s="7"/>
      <c r="Y298" s="7"/>
      <c r="Z298" s="7"/>
      <c r="AA298" s="7"/>
    </row>
    <row r="299">
      <c r="B299" s="2"/>
      <c r="M299" s="5"/>
      <c r="N299" s="6"/>
      <c r="O299" s="5"/>
      <c r="P299" s="5"/>
      <c r="W299" s="7"/>
      <c r="X299" s="7"/>
      <c r="Y299" s="7"/>
      <c r="Z299" s="7"/>
      <c r="AA299" s="7"/>
    </row>
    <row r="300">
      <c r="B300" s="2"/>
      <c r="M300" s="5"/>
      <c r="N300" s="6"/>
      <c r="O300" s="5"/>
      <c r="P300" s="5"/>
      <c r="W300" s="7"/>
      <c r="X300" s="7"/>
      <c r="Y300" s="7"/>
      <c r="Z300" s="7"/>
      <c r="AA300" s="7"/>
    </row>
    <row r="301">
      <c r="B301" s="2"/>
      <c r="M301" s="5"/>
      <c r="N301" s="6"/>
      <c r="O301" s="5"/>
      <c r="P301" s="5"/>
      <c r="W301" s="7"/>
      <c r="X301" s="7"/>
      <c r="Y301" s="7"/>
      <c r="Z301" s="7"/>
      <c r="AA301" s="7"/>
    </row>
    <row r="302">
      <c r="B302" s="2"/>
      <c r="M302" s="5"/>
      <c r="N302" s="6"/>
      <c r="O302" s="5"/>
      <c r="P302" s="5"/>
      <c r="W302" s="7"/>
      <c r="X302" s="7"/>
      <c r="Y302" s="7"/>
      <c r="Z302" s="7"/>
      <c r="AA302" s="7"/>
    </row>
    <row r="303">
      <c r="B303" s="2"/>
      <c r="M303" s="5"/>
      <c r="N303" s="6"/>
      <c r="O303" s="5"/>
      <c r="P303" s="5"/>
      <c r="W303" s="7"/>
      <c r="X303" s="7"/>
      <c r="Y303" s="7"/>
      <c r="Z303" s="7"/>
      <c r="AA303" s="7"/>
    </row>
    <row r="304">
      <c r="B304" s="2"/>
      <c r="M304" s="5"/>
      <c r="N304" s="6"/>
      <c r="O304" s="5"/>
      <c r="P304" s="5"/>
      <c r="W304" s="7"/>
      <c r="X304" s="7"/>
      <c r="Y304" s="7"/>
      <c r="Z304" s="7"/>
      <c r="AA304" s="7"/>
    </row>
    <row r="305">
      <c r="B305" s="2"/>
      <c r="M305" s="5"/>
      <c r="N305" s="6"/>
      <c r="O305" s="5"/>
      <c r="P305" s="5"/>
      <c r="W305" s="7"/>
      <c r="X305" s="7"/>
      <c r="Y305" s="7"/>
      <c r="Z305" s="7"/>
      <c r="AA305" s="7"/>
    </row>
    <row r="306">
      <c r="B306" s="2"/>
      <c r="M306" s="5"/>
      <c r="N306" s="6"/>
      <c r="O306" s="5"/>
      <c r="P306" s="5"/>
      <c r="W306" s="7"/>
      <c r="X306" s="7"/>
      <c r="Y306" s="7"/>
      <c r="Z306" s="7"/>
      <c r="AA306" s="7"/>
    </row>
    <row r="307">
      <c r="B307" s="2"/>
      <c r="M307" s="5"/>
      <c r="N307" s="6"/>
      <c r="O307" s="5"/>
      <c r="P307" s="5"/>
      <c r="W307" s="7"/>
      <c r="X307" s="7"/>
      <c r="Y307" s="7"/>
      <c r="Z307" s="7"/>
      <c r="AA307" s="7"/>
    </row>
    <row r="308">
      <c r="B308" s="2"/>
      <c r="M308" s="5"/>
      <c r="N308" s="6"/>
      <c r="O308" s="5"/>
      <c r="P308" s="5"/>
      <c r="W308" s="7"/>
      <c r="X308" s="7"/>
      <c r="Y308" s="7"/>
      <c r="Z308" s="7"/>
      <c r="AA308" s="7"/>
    </row>
    <row r="309">
      <c r="B309" s="2"/>
      <c r="M309" s="5"/>
      <c r="N309" s="6"/>
      <c r="O309" s="5"/>
      <c r="P309" s="5"/>
      <c r="W309" s="7"/>
      <c r="X309" s="7"/>
      <c r="Y309" s="7"/>
      <c r="Z309" s="7"/>
      <c r="AA309" s="7"/>
    </row>
    <row r="310">
      <c r="B310" s="2"/>
      <c r="M310" s="5"/>
      <c r="N310" s="6"/>
      <c r="O310" s="5"/>
      <c r="P310" s="5"/>
      <c r="W310" s="7"/>
      <c r="X310" s="7"/>
      <c r="Y310" s="7"/>
      <c r="Z310" s="7"/>
      <c r="AA310" s="7"/>
    </row>
    <row r="311">
      <c r="B311" s="2"/>
      <c r="M311" s="5"/>
      <c r="N311" s="6"/>
      <c r="O311" s="5"/>
      <c r="P311" s="5"/>
      <c r="W311" s="7"/>
      <c r="X311" s="7"/>
      <c r="Y311" s="7"/>
      <c r="Z311" s="7"/>
      <c r="AA311" s="7"/>
    </row>
    <row r="312">
      <c r="B312" s="2"/>
      <c r="M312" s="5"/>
      <c r="N312" s="6"/>
      <c r="O312" s="5"/>
      <c r="P312" s="5"/>
      <c r="W312" s="7"/>
      <c r="X312" s="7"/>
      <c r="Y312" s="7"/>
      <c r="Z312" s="7"/>
      <c r="AA312" s="7"/>
    </row>
    <row r="313">
      <c r="B313" s="2"/>
      <c r="M313" s="5"/>
      <c r="N313" s="6"/>
      <c r="O313" s="5"/>
      <c r="P313" s="5"/>
      <c r="W313" s="7"/>
      <c r="X313" s="7"/>
      <c r="Y313" s="7"/>
      <c r="Z313" s="7"/>
      <c r="AA313" s="7"/>
    </row>
    <row r="314">
      <c r="B314" s="2"/>
      <c r="M314" s="5"/>
      <c r="N314" s="6"/>
      <c r="O314" s="5"/>
      <c r="P314" s="5"/>
      <c r="W314" s="7"/>
      <c r="X314" s="7"/>
      <c r="Y314" s="7"/>
      <c r="Z314" s="7"/>
      <c r="AA314" s="7"/>
    </row>
    <row r="315">
      <c r="B315" s="2"/>
      <c r="M315" s="5"/>
      <c r="N315" s="6"/>
      <c r="O315" s="5"/>
      <c r="P315" s="5"/>
      <c r="W315" s="7"/>
      <c r="X315" s="7"/>
      <c r="Y315" s="7"/>
      <c r="Z315" s="7"/>
      <c r="AA315" s="7"/>
    </row>
    <row r="316">
      <c r="B316" s="2"/>
      <c r="M316" s="5"/>
      <c r="N316" s="6"/>
      <c r="O316" s="5"/>
      <c r="P316" s="5"/>
      <c r="W316" s="7"/>
      <c r="X316" s="7"/>
      <c r="Y316" s="7"/>
      <c r="Z316" s="7"/>
      <c r="AA316" s="7"/>
    </row>
    <row r="317">
      <c r="B317" s="2"/>
      <c r="M317" s="5"/>
      <c r="N317" s="6"/>
      <c r="O317" s="5"/>
      <c r="P317" s="5"/>
      <c r="W317" s="7"/>
      <c r="X317" s="7"/>
      <c r="Y317" s="7"/>
      <c r="Z317" s="7"/>
      <c r="AA317" s="7"/>
    </row>
    <row r="318">
      <c r="B318" s="2"/>
      <c r="M318" s="5"/>
      <c r="N318" s="6"/>
      <c r="O318" s="5"/>
      <c r="P318" s="5"/>
      <c r="W318" s="7"/>
      <c r="X318" s="7"/>
      <c r="Y318" s="7"/>
      <c r="Z318" s="7"/>
      <c r="AA318" s="7"/>
    </row>
    <row r="319">
      <c r="B319" s="2"/>
      <c r="M319" s="5"/>
      <c r="N319" s="6"/>
      <c r="O319" s="5"/>
      <c r="P319" s="5"/>
      <c r="W319" s="7"/>
      <c r="X319" s="7"/>
      <c r="Y319" s="7"/>
      <c r="Z319" s="7"/>
      <c r="AA319" s="7"/>
    </row>
    <row r="320">
      <c r="B320" s="2"/>
      <c r="M320" s="5"/>
      <c r="N320" s="6"/>
      <c r="O320" s="5"/>
      <c r="P320" s="5"/>
      <c r="W320" s="7"/>
      <c r="X320" s="7"/>
      <c r="Y320" s="7"/>
      <c r="Z320" s="7"/>
      <c r="AA320" s="7"/>
    </row>
    <row r="321">
      <c r="B321" s="2"/>
      <c r="M321" s="5"/>
      <c r="N321" s="6"/>
      <c r="O321" s="5"/>
      <c r="P321" s="5"/>
      <c r="W321" s="7"/>
      <c r="X321" s="7"/>
      <c r="Y321" s="7"/>
      <c r="Z321" s="7"/>
      <c r="AA321" s="7"/>
    </row>
    <row r="322">
      <c r="B322" s="2"/>
      <c r="M322" s="5"/>
      <c r="N322" s="6"/>
      <c r="O322" s="5"/>
      <c r="P322" s="5"/>
      <c r="W322" s="7"/>
      <c r="X322" s="7"/>
      <c r="Y322" s="7"/>
      <c r="Z322" s="7"/>
      <c r="AA322" s="7"/>
    </row>
    <row r="323">
      <c r="B323" s="2"/>
      <c r="M323" s="5"/>
      <c r="N323" s="6"/>
      <c r="O323" s="5"/>
      <c r="P323" s="5"/>
      <c r="W323" s="7"/>
      <c r="X323" s="7"/>
      <c r="Y323" s="7"/>
      <c r="Z323" s="7"/>
      <c r="AA323" s="7"/>
    </row>
    <row r="324">
      <c r="B324" s="2"/>
      <c r="M324" s="5"/>
      <c r="N324" s="6"/>
      <c r="O324" s="5"/>
      <c r="P324" s="5"/>
      <c r="W324" s="7"/>
      <c r="X324" s="7"/>
      <c r="Y324" s="7"/>
      <c r="Z324" s="7"/>
      <c r="AA324" s="7"/>
    </row>
    <row r="325">
      <c r="B325" s="2"/>
      <c r="M325" s="5"/>
      <c r="N325" s="6"/>
      <c r="O325" s="5"/>
      <c r="P325" s="5"/>
      <c r="W325" s="7"/>
      <c r="X325" s="7"/>
      <c r="Y325" s="7"/>
      <c r="Z325" s="7"/>
      <c r="AA325" s="7"/>
    </row>
    <row r="326">
      <c r="B326" s="2"/>
      <c r="M326" s="5"/>
      <c r="N326" s="6"/>
      <c r="O326" s="5"/>
      <c r="P326" s="5"/>
      <c r="W326" s="7"/>
      <c r="X326" s="7"/>
      <c r="Y326" s="7"/>
      <c r="Z326" s="7"/>
      <c r="AA326" s="7"/>
    </row>
    <row r="327">
      <c r="B327" s="2"/>
      <c r="M327" s="5"/>
      <c r="N327" s="6"/>
      <c r="O327" s="5"/>
      <c r="P327" s="5"/>
      <c r="W327" s="7"/>
      <c r="X327" s="7"/>
      <c r="Y327" s="7"/>
      <c r="Z327" s="7"/>
      <c r="AA327" s="7"/>
    </row>
    <row r="328">
      <c r="B328" s="2"/>
      <c r="M328" s="5"/>
      <c r="N328" s="6"/>
      <c r="O328" s="5"/>
      <c r="P328" s="5"/>
      <c r="W328" s="7"/>
      <c r="X328" s="7"/>
      <c r="Y328" s="7"/>
      <c r="Z328" s="7"/>
      <c r="AA328" s="7"/>
    </row>
    <row r="329">
      <c r="B329" s="2"/>
      <c r="M329" s="5"/>
      <c r="N329" s="6"/>
      <c r="O329" s="5"/>
      <c r="P329" s="5"/>
      <c r="W329" s="7"/>
      <c r="X329" s="7"/>
      <c r="Y329" s="7"/>
      <c r="Z329" s="7"/>
      <c r="AA329" s="7"/>
    </row>
    <row r="330">
      <c r="B330" s="2"/>
      <c r="M330" s="5"/>
      <c r="N330" s="6"/>
      <c r="O330" s="5"/>
      <c r="P330" s="5"/>
      <c r="W330" s="7"/>
      <c r="X330" s="7"/>
      <c r="Y330" s="7"/>
      <c r="Z330" s="7"/>
      <c r="AA330" s="7"/>
    </row>
    <row r="331">
      <c r="B331" s="2"/>
      <c r="M331" s="5"/>
      <c r="N331" s="6"/>
      <c r="O331" s="5"/>
      <c r="P331" s="5"/>
      <c r="W331" s="7"/>
      <c r="X331" s="7"/>
      <c r="Y331" s="7"/>
      <c r="Z331" s="7"/>
      <c r="AA331" s="7"/>
    </row>
    <row r="332">
      <c r="B332" s="2"/>
      <c r="M332" s="5"/>
      <c r="N332" s="6"/>
      <c r="O332" s="5"/>
      <c r="P332" s="5"/>
      <c r="W332" s="7"/>
      <c r="X332" s="7"/>
      <c r="Y332" s="7"/>
      <c r="Z332" s="7"/>
      <c r="AA332" s="7"/>
    </row>
    <row r="333">
      <c r="B333" s="2"/>
      <c r="M333" s="5"/>
      <c r="N333" s="6"/>
      <c r="O333" s="5"/>
      <c r="P333" s="5"/>
      <c r="W333" s="7"/>
      <c r="X333" s="7"/>
      <c r="Y333" s="7"/>
      <c r="Z333" s="7"/>
      <c r="AA333" s="7"/>
    </row>
    <row r="334">
      <c r="B334" s="2"/>
      <c r="M334" s="5"/>
      <c r="N334" s="6"/>
      <c r="O334" s="5"/>
      <c r="P334" s="5"/>
      <c r="W334" s="7"/>
      <c r="X334" s="7"/>
      <c r="Y334" s="7"/>
      <c r="Z334" s="7"/>
      <c r="AA334" s="7"/>
    </row>
    <row r="335">
      <c r="B335" s="2"/>
      <c r="M335" s="5"/>
      <c r="N335" s="6"/>
      <c r="O335" s="5"/>
      <c r="P335" s="5"/>
      <c r="W335" s="7"/>
      <c r="X335" s="7"/>
      <c r="Y335" s="7"/>
      <c r="Z335" s="7"/>
      <c r="AA335" s="7"/>
    </row>
    <row r="336">
      <c r="B336" s="2"/>
      <c r="M336" s="5"/>
      <c r="N336" s="6"/>
      <c r="O336" s="5"/>
      <c r="P336" s="5"/>
      <c r="W336" s="7"/>
      <c r="X336" s="7"/>
      <c r="Y336" s="7"/>
      <c r="Z336" s="7"/>
      <c r="AA336" s="7"/>
    </row>
    <row r="337">
      <c r="B337" s="2"/>
      <c r="M337" s="5"/>
      <c r="N337" s="6"/>
      <c r="O337" s="5"/>
      <c r="P337" s="5"/>
      <c r="W337" s="7"/>
      <c r="X337" s="7"/>
      <c r="Y337" s="7"/>
      <c r="Z337" s="7"/>
      <c r="AA337" s="7"/>
    </row>
    <row r="338">
      <c r="B338" s="2"/>
      <c r="M338" s="5"/>
      <c r="N338" s="6"/>
      <c r="O338" s="5"/>
      <c r="P338" s="5"/>
      <c r="W338" s="7"/>
      <c r="X338" s="7"/>
      <c r="Y338" s="7"/>
      <c r="Z338" s="7"/>
      <c r="AA338" s="7"/>
    </row>
    <row r="339">
      <c r="B339" s="2"/>
      <c r="M339" s="5"/>
      <c r="N339" s="6"/>
      <c r="O339" s="5"/>
      <c r="P339" s="5"/>
      <c r="W339" s="7"/>
      <c r="X339" s="7"/>
      <c r="Y339" s="7"/>
      <c r="Z339" s="7"/>
      <c r="AA339" s="7"/>
    </row>
    <row r="340">
      <c r="B340" s="2"/>
      <c r="M340" s="5"/>
      <c r="N340" s="6"/>
      <c r="O340" s="5"/>
      <c r="P340" s="5"/>
      <c r="W340" s="7"/>
      <c r="X340" s="7"/>
      <c r="Y340" s="7"/>
      <c r="Z340" s="7"/>
      <c r="AA340" s="7"/>
    </row>
    <row r="341">
      <c r="B341" s="2"/>
      <c r="M341" s="5"/>
      <c r="N341" s="6"/>
      <c r="O341" s="5"/>
      <c r="P341" s="5"/>
      <c r="W341" s="7"/>
      <c r="X341" s="7"/>
      <c r="Y341" s="7"/>
      <c r="Z341" s="7"/>
      <c r="AA341" s="7"/>
    </row>
    <row r="342">
      <c r="B342" s="2"/>
      <c r="M342" s="5"/>
      <c r="N342" s="6"/>
      <c r="O342" s="5"/>
      <c r="P342" s="5"/>
      <c r="W342" s="7"/>
      <c r="X342" s="7"/>
      <c r="Y342" s="7"/>
      <c r="Z342" s="7"/>
      <c r="AA342" s="7"/>
    </row>
    <row r="343">
      <c r="B343" s="2"/>
      <c r="M343" s="5"/>
      <c r="N343" s="6"/>
      <c r="O343" s="5"/>
      <c r="P343" s="5"/>
      <c r="W343" s="7"/>
      <c r="X343" s="7"/>
      <c r="Y343" s="7"/>
      <c r="Z343" s="7"/>
      <c r="AA343" s="7"/>
    </row>
    <row r="344">
      <c r="B344" s="2"/>
      <c r="M344" s="5"/>
      <c r="N344" s="6"/>
      <c r="O344" s="5"/>
      <c r="P344" s="5"/>
      <c r="W344" s="7"/>
      <c r="X344" s="7"/>
      <c r="Y344" s="7"/>
      <c r="Z344" s="7"/>
      <c r="AA344" s="7"/>
    </row>
    <row r="345">
      <c r="B345" s="2"/>
      <c r="M345" s="5"/>
      <c r="N345" s="6"/>
      <c r="O345" s="5"/>
      <c r="P345" s="5"/>
      <c r="W345" s="7"/>
      <c r="X345" s="7"/>
      <c r="Y345" s="7"/>
      <c r="Z345" s="7"/>
      <c r="AA345" s="7"/>
    </row>
    <row r="346">
      <c r="B346" s="2"/>
      <c r="M346" s="5"/>
      <c r="N346" s="6"/>
      <c r="O346" s="5"/>
      <c r="P346" s="5"/>
      <c r="W346" s="7"/>
      <c r="X346" s="7"/>
      <c r="Y346" s="7"/>
      <c r="Z346" s="7"/>
      <c r="AA346" s="7"/>
    </row>
    <row r="347">
      <c r="B347" s="2"/>
      <c r="M347" s="5"/>
      <c r="N347" s="6"/>
      <c r="O347" s="5"/>
      <c r="P347" s="5"/>
      <c r="W347" s="7"/>
      <c r="X347" s="7"/>
      <c r="Y347" s="7"/>
      <c r="Z347" s="7"/>
      <c r="AA347" s="7"/>
    </row>
    <row r="348">
      <c r="B348" s="2"/>
      <c r="M348" s="5"/>
      <c r="N348" s="6"/>
      <c r="O348" s="5"/>
      <c r="P348" s="5"/>
      <c r="W348" s="7"/>
      <c r="X348" s="7"/>
      <c r="Y348" s="7"/>
      <c r="Z348" s="7"/>
      <c r="AA348" s="7"/>
    </row>
    <row r="349">
      <c r="B349" s="2"/>
      <c r="M349" s="5"/>
      <c r="N349" s="6"/>
      <c r="O349" s="5"/>
      <c r="P349" s="5"/>
      <c r="W349" s="7"/>
      <c r="X349" s="7"/>
      <c r="Y349" s="7"/>
      <c r="Z349" s="7"/>
      <c r="AA349" s="7"/>
    </row>
    <row r="350">
      <c r="B350" s="2"/>
      <c r="M350" s="5"/>
      <c r="N350" s="6"/>
      <c r="O350" s="5"/>
      <c r="P350" s="5"/>
      <c r="W350" s="7"/>
      <c r="X350" s="7"/>
      <c r="Y350" s="7"/>
      <c r="Z350" s="7"/>
      <c r="AA350" s="7"/>
    </row>
    <row r="351">
      <c r="B351" s="2"/>
      <c r="M351" s="5"/>
      <c r="N351" s="6"/>
      <c r="O351" s="5"/>
      <c r="P351" s="5"/>
      <c r="W351" s="7"/>
      <c r="X351" s="7"/>
      <c r="Y351" s="7"/>
      <c r="Z351" s="7"/>
      <c r="AA351" s="7"/>
    </row>
    <row r="352">
      <c r="B352" s="2"/>
      <c r="M352" s="5"/>
      <c r="N352" s="6"/>
      <c r="O352" s="5"/>
      <c r="P352" s="5"/>
      <c r="W352" s="7"/>
      <c r="X352" s="7"/>
      <c r="Y352" s="7"/>
      <c r="Z352" s="7"/>
      <c r="AA352" s="7"/>
    </row>
    <row r="353">
      <c r="B353" s="2"/>
      <c r="M353" s="5"/>
      <c r="N353" s="6"/>
      <c r="O353" s="5"/>
      <c r="P353" s="5"/>
      <c r="W353" s="7"/>
      <c r="X353" s="7"/>
      <c r="Y353" s="7"/>
      <c r="Z353" s="7"/>
      <c r="AA353" s="7"/>
    </row>
    <row r="354">
      <c r="B354" s="2"/>
      <c r="M354" s="5"/>
      <c r="N354" s="6"/>
      <c r="O354" s="5"/>
      <c r="P354" s="5"/>
      <c r="W354" s="7"/>
      <c r="X354" s="7"/>
      <c r="Y354" s="7"/>
      <c r="Z354" s="7"/>
      <c r="AA354" s="7"/>
    </row>
    <row r="355">
      <c r="B355" s="2"/>
      <c r="M355" s="5"/>
      <c r="N355" s="6"/>
      <c r="O355" s="5"/>
      <c r="P355" s="5"/>
      <c r="W355" s="7"/>
      <c r="X355" s="7"/>
      <c r="Y355" s="7"/>
      <c r="Z355" s="7"/>
      <c r="AA355" s="7"/>
    </row>
    <row r="356">
      <c r="B356" s="2"/>
      <c r="M356" s="5"/>
      <c r="N356" s="6"/>
      <c r="O356" s="5"/>
      <c r="P356" s="5"/>
      <c r="W356" s="7"/>
      <c r="X356" s="7"/>
      <c r="Y356" s="7"/>
      <c r="Z356" s="7"/>
      <c r="AA356" s="7"/>
    </row>
    <row r="357">
      <c r="B357" s="2"/>
      <c r="M357" s="5"/>
      <c r="N357" s="6"/>
      <c r="O357" s="5"/>
      <c r="P357" s="5"/>
      <c r="W357" s="7"/>
      <c r="X357" s="7"/>
      <c r="Y357" s="7"/>
      <c r="Z357" s="7"/>
      <c r="AA357" s="7"/>
    </row>
    <row r="358">
      <c r="B358" s="2"/>
      <c r="M358" s="5"/>
      <c r="N358" s="6"/>
      <c r="O358" s="5"/>
      <c r="P358" s="5"/>
      <c r="W358" s="7"/>
      <c r="X358" s="7"/>
      <c r="Y358" s="7"/>
      <c r="Z358" s="7"/>
      <c r="AA358" s="7"/>
    </row>
    <row r="359">
      <c r="B359" s="2"/>
      <c r="M359" s="5"/>
      <c r="N359" s="6"/>
      <c r="O359" s="5"/>
      <c r="P359" s="5"/>
      <c r="W359" s="7"/>
      <c r="X359" s="7"/>
      <c r="Y359" s="7"/>
      <c r="Z359" s="7"/>
      <c r="AA359" s="7"/>
    </row>
    <row r="360">
      <c r="B360" s="2"/>
      <c r="M360" s="5"/>
      <c r="N360" s="6"/>
      <c r="O360" s="5"/>
      <c r="P360" s="5"/>
      <c r="W360" s="7"/>
      <c r="X360" s="7"/>
      <c r="Y360" s="7"/>
      <c r="Z360" s="7"/>
      <c r="AA360" s="7"/>
    </row>
    <row r="361">
      <c r="B361" s="2"/>
      <c r="M361" s="5"/>
      <c r="N361" s="6"/>
      <c r="O361" s="5"/>
      <c r="P361" s="5"/>
      <c r="W361" s="7"/>
      <c r="X361" s="7"/>
      <c r="Y361" s="7"/>
      <c r="Z361" s="7"/>
      <c r="AA361" s="7"/>
    </row>
    <row r="362">
      <c r="B362" s="2"/>
      <c r="M362" s="5"/>
      <c r="N362" s="6"/>
      <c r="O362" s="5"/>
      <c r="P362" s="5"/>
      <c r="W362" s="7"/>
      <c r="X362" s="7"/>
      <c r="Y362" s="7"/>
      <c r="Z362" s="7"/>
      <c r="AA362" s="7"/>
    </row>
    <row r="363">
      <c r="B363" s="2"/>
      <c r="M363" s="5"/>
      <c r="N363" s="6"/>
      <c r="O363" s="5"/>
      <c r="P363" s="5"/>
      <c r="W363" s="7"/>
      <c r="X363" s="7"/>
      <c r="Y363" s="7"/>
      <c r="Z363" s="7"/>
      <c r="AA363" s="7"/>
    </row>
    <row r="364">
      <c r="B364" s="2"/>
      <c r="M364" s="5"/>
      <c r="N364" s="6"/>
      <c r="O364" s="5"/>
      <c r="P364" s="5"/>
      <c r="W364" s="7"/>
      <c r="X364" s="7"/>
      <c r="Y364" s="7"/>
      <c r="Z364" s="7"/>
      <c r="AA364" s="7"/>
    </row>
    <row r="365">
      <c r="B365" s="2"/>
      <c r="M365" s="5"/>
      <c r="N365" s="6"/>
      <c r="O365" s="5"/>
      <c r="P365" s="5"/>
      <c r="W365" s="7"/>
      <c r="X365" s="7"/>
      <c r="Y365" s="7"/>
      <c r="Z365" s="7"/>
      <c r="AA365" s="7"/>
    </row>
    <row r="366">
      <c r="B366" s="2"/>
      <c r="M366" s="5"/>
      <c r="N366" s="6"/>
      <c r="O366" s="5"/>
      <c r="P366" s="5"/>
      <c r="W366" s="7"/>
      <c r="X366" s="7"/>
      <c r="Y366" s="7"/>
      <c r="Z366" s="7"/>
      <c r="AA366" s="7"/>
    </row>
    <row r="367">
      <c r="B367" s="2"/>
      <c r="M367" s="5"/>
      <c r="N367" s="6"/>
      <c r="O367" s="5"/>
      <c r="P367" s="5"/>
      <c r="W367" s="7"/>
      <c r="X367" s="7"/>
      <c r="Y367" s="7"/>
      <c r="Z367" s="7"/>
      <c r="AA367" s="7"/>
    </row>
    <row r="368">
      <c r="B368" s="2"/>
      <c r="M368" s="5"/>
      <c r="N368" s="6"/>
      <c r="O368" s="5"/>
      <c r="P368" s="5"/>
      <c r="W368" s="7"/>
      <c r="X368" s="7"/>
      <c r="Y368" s="7"/>
      <c r="Z368" s="7"/>
      <c r="AA368" s="7"/>
    </row>
    <row r="369">
      <c r="B369" s="2"/>
      <c r="M369" s="5"/>
      <c r="N369" s="6"/>
      <c r="O369" s="5"/>
      <c r="P369" s="5"/>
      <c r="W369" s="7"/>
      <c r="X369" s="7"/>
      <c r="Y369" s="7"/>
      <c r="Z369" s="7"/>
      <c r="AA369" s="7"/>
    </row>
    <row r="370">
      <c r="B370" s="2"/>
      <c r="M370" s="5"/>
      <c r="N370" s="6"/>
      <c r="O370" s="5"/>
      <c r="P370" s="5"/>
      <c r="W370" s="7"/>
      <c r="X370" s="7"/>
      <c r="Y370" s="7"/>
      <c r="Z370" s="7"/>
      <c r="AA370" s="7"/>
    </row>
    <row r="371">
      <c r="B371" s="2"/>
      <c r="M371" s="5"/>
      <c r="N371" s="6"/>
      <c r="O371" s="5"/>
      <c r="P371" s="5"/>
      <c r="W371" s="7"/>
      <c r="X371" s="7"/>
      <c r="Y371" s="7"/>
      <c r="Z371" s="7"/>
      <c r="AA371" s="7"/>
    </row>
    <row r="372">
      <c r="B372" s="2"/>
      <c r="M372" s="5"/>
      <c r="N372" s="6"/>
      <c r="O372" s="5"/>
      <c r="P372" s="5"/>
      <c r="W372" s="7"/>
      <c r="X372" s="7"/>
      <c r="Y372" s="7"/>
      <c r="Z372" s="7"/>
      <c r="AA372" s="7"/>
    </row>
    <row r="373">
      <c r="B373" s="2"/>
      <c r="M373" s="5"/>
      <c r="N373" s="6"/>
      <c r="O373" s="5"/>
      <c r="P373" s="5"/>
      <c r="W373" s="7"/>
      <c r="X373" s="7"/>
      <c r="Y373" s="7"/>
      <c r="Z373" s="7"/>
      <c r="AA373" s="7"/>
    </row>
    <row r="374">
      <c r="B374" s="2"/>
      <c r="M374" s="5"/>
      <c r="N374" s="6"/>
      <c r="O374" s="5"/>
      <c r="P374" s="5"/>
      <c r="W374" s="7"/>
      <c r="X374" s="7"/>
      <c r="Y374" s="7"/>
      <c r="Z374" s="7"/>
      <c r="AA374" s="7"/>
    </row>
    <row r="375">
      <c r="B375" s="2"/>
      <c r="M375" s="5"/>
      <c r="N375" s="6"/>
      <c r="O375" s="5"/>
      <c r="P375" s="5"/>
      <c r="W375" s="7"/>
      <c r="X375" s="7"/>
      <c r="Y375" s="7"/>
      <c r="Z375" s="7"/>
      <c r="AA375" s="7"/>
    </row>
    <row r="376">
      <c r="B376" s="2"/>
      <c r="M376" s="5"/>
      <c r="N376" s="6"/>
      <c r="O376" s="5"/>
      <c r="P376" s="5"/>
      <c r="W376" s="7"/>
      <c r="X376" s="7"/>
      <c r="Y376" s="7"/>
      <c r="Z376" s="7"/>
      <c r="AA376" s="7"/>
    </row>
    <row r="377">
      <c r="B377" s="2"/>
      <c r="M377" s="5"/>
      <c r="N377" s="6"/>
      <c r="O377" s="5"/>
      <c r="P377" s="5"/>
      <c r="W377" s="7"/>
      <c r="X377" s="7"/>
      <c r="Y377" s="7"/>
      <c r="Z377" s="7"/>
      <c r="AA377" s="7"/>
    </row>
    <row r="378">
      <c r="B378" s="2"/>
      <c r="M378" s="5"/>
      <c r="N378" s="6"/>
      <c r="O378" s="5"/>
      <c r="P378" s="5"/>
      <c r="W378" s="7"/>
      <c r="X378" s="7"/>
      <c r="Y378" s="7"/>
      <c r="Z378" s="7"/>
      <c r="AA378" s="7"/>
    </row>
    <row r="379">
      <c r="B379" s="2"/>
      <c r="M379" s="5"/>
      <c r="N379" s="6"/>
      <c r="O379" s="5"/>
      <c r="P379" s="5"/>
      <c r="W379" s="7"/>
      <c r="X379" s="7"/>
      <c r="Y379" s="7"/>
      <c r="Z379" s="7"/>
      <c r="AA379" s="7"/>
    </row>
    <row r="380">
      <c r="B380" s="2"/>
      <c r="M380" s="5"/>
      <c r="N380" s="6"/>
      <c r="O380" s="5"/>
      <c r="P380" s="5"/>
      <c r="W380" s="7"/>
      <c r="X380" s="7"/>
      <c r="Y380" s="7"/>
      <c r="Z380" s="7"/>
      <c r="AA380" s="7"/>
    </row>
    <row r="381">
      <c r="B381" s="2"/>
      <c r="M381" s="5"/>
      <c r="N381" s="6"/>
      <c r="O381" s="5"/>
      <c r="P381" s="5"/>
      <c r="W381" s="7"/>
      <c r="X381" s="7"/>
      <c r="Y381" s="7"/>
      <c r="Z381" s="7"/>
      <c r="AA381" s="7"/>
    </row>
    <row r="382">
      <c r="B382" s="2"/>
      <c r="M382" s="5"/>
      <c r="N382" s="6"/>
      <c r="O382" s="5"/>
      <c r="P382" s="5"/>
      <c r="W382" s="7"/>
      <c r="X382" s="7"/>
      <c r="Y382" s="7"/>
      <c r="Z382" s="7"/>
      <c r="AA382" s="7"/>
    </row>
    <row r="383">
      <c r="B383" s="2"/>
      <c r="M383" s="5"/>
      <c r="N383" s="6"/>
      <c r="O383" s="5"/>
      <c r="P383" s="5"/>
      <c r="W383" s="7"/>
      <c r="X383" s="7"/>
      <c r="Y383" s="7"/>
      <c r="Z383" s="7"/>
      <c r="AA383" s="7"/>
    </row>
    <row r="384">
      <c r="B384" s="2"/>
      <c r="M384" s="5"/>
      <c r="N384" s="6"/>
      <c r="O384" s="5"/>
      <c r="P384" s="5"/>
      <c r="W384" s="7"/>
      <c r="X384" s="7"/>
      <c r="Y384" s="7"/>
      <c r="Z384" s="7"/>
      <c r="AA384" s="7"/>
    </row>
    <row r="385">
      <c r="B385" s="2"/>
      <c r="M385" s="5"/>
      <c r="N385" s="6"/>
      <c r="O385" s="5"/>
      <c r="P385" s="5"/>
      <c r="W385" s="7"/>
      <c r="X385" s="7"/>
      <c r="Y385" s="7"/>
      <c r="Z385" s="7"/>
      <c r="AA385" s="7"/>
    </row>
    <row r="386">
      <c r="B386" s="2"/>
      <c r="M386" s="5"/>
      <c r="N386" s="6"/>
      <c r="O386" s="5"/>
      <c r="P386" s="5"/>
      <c r="W386" s="7"/>
      <c r="X386" s="7"/>
      <c r="Y386" s="7"/>
      <c r="Z386" s="7"/>
      <c r="AA386" s="7"/>
    </row>
    <row r="387">
      <c r="B387" s="2"/>
      <c r="M387" s="5"/>
      <c r="N387" s="6"/>
      <c r="O387" s="5"/>
      <c r="P387" s="5"/>
      <c r="W387" s="7"/>
      <c r="X387" s="7"/>
      <c r="Y387" s="7"/>
      <c r="Z387" s="7"/>
      <c r="AA387" s="7"/>
    </row>
    <row r="388">
      <c r="B388" s="2"/>
      <c r="M388" s="5"/>
      <c r="N388" s="6"/>
      <c r="O388" s="5"/>
      <c r="P388" s="5"/>
      <c r="W388" s="7"/>
      <c r="X388" s="7"/>
      <c r="Y388" s="7"/>
      <c r="Z388" s="7"/>
      <c r="AA388" s="7"/>
    </row>
    <row r="389">
      <c r="B389" s="2"/>
      <c r="M389" s="5"/>
      <c r="N389" s="6"/>
      <c r="O389" s="5"/>
      <c r="P389" s="5"/>
      <c r="W389" s="7"/>
      <c r="X389" s="7"/>
      <c r="Y389" s="7"/>
      <c r="Z389" s="7"/>
      <c r="AA389" s="7"/>
    </row>
    <row r="390">
      <c r="B390" s="2"/>
      <c r="M390" s="5"/>
      <c r="N390" s="6"/>
      <c r="O390" s="5"/>
      <c r="P390" s="5"/>
      <c r="W390" s="7"/>
      <c r="X390" s="7"/>
      <c r="Y390" s="7"/>
      <c r="Z390" s="7"/>
      <c r="AA390" s="7"/>
    </row>
    <row r="391">
      <c r="B391" s="2"/>
      <c r="M391" s="5"/>
      <c r="N391" s="6"/>
      <c r="O391" s="5"/>
      <c r="P391" s="5"/>
      <c r="W391" s="7"/>
      <c r="X391" s="7"/>
      <c r="Y391" s="7"/>
      <c r="Z391" s="7"/>
      <c r="AA391" s="7"/>
    </row>
    <row r="392">
      <c r="B392" s="2"/>
      <c r="M392" s="5"/>
      <c r="N392" s="6"/>
      <c r="O392" s="5"/>
      <c r="P392" s="5"/>
      <c r="W392" s="7"/>
      <c r="X392" s="7"/>
      <c r="Y392" s="7"/>
      <c r="Z392" s="7"/>
      <c r="AA392" s="7"/>
    </row>
    <row r="393">
      <c r="B393" s="2"/>
      <c r="M393" s="5"/>
      <c r="N393" s="6"/>
      <c r="O393" s="5"/>
      <c r="P393" s="5"/>
      <c r="W393" s="7"/>
      <c r="X393" s="7"/>
      <c r="Y393" s="7"/>
      <c r="Z393" s="7"/>
      <c r="AA393" s="7"/>
    </row>
    <row r="394">
      <c r="B394" s="2"/>
      <c r="M394" s="5"/>
      <c r="N394" s="6"/>
      <c r="O394" s="5"/>
      <c r="P394" s="5"/>
      <c r="W394" s="7"/>
      <c r="X394" s="7"/>
      <c r="Y394" s="7"/>
      <c r="Z394" s="7"/>
      <c r="AA394" s="7"/>
    </row>
    <row r="395">
      <c r="B395" s="2"/>
      <c r="M395" s="5"/>
      <c r="N395" s="6"/>
      <c r="O395" s="5"/>
      <c r="P395" s="5"/>
      <c r="W395" s="7"/>
      <c r="X395" s="7"/>
      <c r="Y395" s="7"/>
      <c r="Z395" s="7"/>
      <c r="AA395" s="7"/>
    </row>
    <row r="396">
      <c r="B396" s="2"/>
      <c r="M396" s="5"/>
      <c r="N396" s="6"/>
      <c r="O396" s="5"/>
      <c r="P396" s="5"/>
      <c r="W396" s="7"/>
      <c r="X396" s="7"/>
      <c r="Y396" s="7"/>
      <c r="Z396" s="7"/>
      <c r="AA396" s="7"/>
    </row>
    <row r="397">
      <c r="B397" s="2"/>
      <c r="M397" s="5"/>
      <c r="N397" s="6"/>
      <c r="O397" s="5"/>
      <c r="P397" s="5"/>
      <c r="W397" s="7"/>
      <c r="X397" s="7"/>
      <c r="Y397" s="7"/>
      <c r="Z397" s="7"/>
      <c r="AA397" s="7"/>
    </row>
    <row r="398">
      <c r="B398" s="2"/>
      <c r="M398" s="5"/>
      <c r="N398" s="6"/>
      <c r="O398" s="5"/>
      <c r="P398" s="5"/>
      <c r="W398" s="7"/>
      <c r="X398" s="7"/>
      <c r="Y398" s="7"/>
      <c r="Z398" s="7"/>
      <c r="AA398" s="7"/>
    </row>
    <row r="399">
      <c r="B399" s="2"/>
      <c r="M399" s="5"/>
      <c r="N399" s="6"/>
      <c r="O399" s="5"/>
      <c r="P399" s="5"/>
      <c r="W399" s="7"/>
      <c r="X399" s="7"/>
      <c r="Y399" s="7"/>
      <c r="Z399" s="7"/>
      <c r="AA399" s="7"/>
    </row>
    <row r="400">
      <c r="B400" s="2"/>
      <c r="M400" s="5"/>
      <c r="N400" s="6"/>
      <c r="O400" s="5"/>
      <c r="P400" s="5"/>
      <c r="W400" s="7"/>
      <c r="X400" s="7"/>
      <c r="Y400" s="7"/>
      <c r="Z400" s="7"/>
      <c r="AA400" s="7"/>
    </row>
    <row r="401">
      <c r="B401" s="2"/>
      <c r="M401" s="5"/>
      <c r="N401" s="6"/>
      <c r="O401" s="5"/>
      <c r="P401" s="5"/>
      <c r="W401" s="7"/>
      <c r="X401" s="7"/>
      <c r="Y401" s="7"/>
      <c r="Z401" s="7"/>
      <c r="AA401" s="7"/>
    </row>
    <row r="402">
      <c r="B402" s="2"/>
      <c r="M402" s="5"/>
      <c r="N402" s="6"/>
      <c r="O402" s="5"/>
      <c r="P402" s="5"/>
      <c r="W402" s="7"/>
      <c r="X402" s="7"/>
      <c r="Y402" s="7"/>
      <c r="Z402" s="7"/>
      <c r="AA402" s="7"/>
    </row>
    <row r="403">
      <c r="B403" s="2"/>
      <c r="M403" s="5"/>
      <c r="N403" s="6"/>
      <c r="O403" s="5"/>
      <c r="P403" s="5"/>
      <c r="W403" s="7"/>
      <c r="X403" s="7"/>
      <c r="Y403" s="7"/>
      <c r="Z403" s="7"/>
      <c r="AA403" s="7"/>
    </row>
    <row r="404">
      <c r="B404" s="2"/>
      <c r="M404" s="5"/>
      <c r="N404" s="6"/>
      <c r="O404" s="5"/>
      <c r="P404" s="5"/>
      <c r="W404" s="7"/>
      <c r="X404" s="7"/>
      <c r="Y404" s="7"/>
      <c r="Z404" s="7"/>
      <c r="AA404" s="7"/>
    </row>
    <row r="405">
      <c r="B405" s="2"/>
      <c r="M405" s="5"/>
      <c r="N405" s="6"/>
      <c r="O405" s="5"/>
      <c r="P405" s="5"/>
      <c r="W405" s="7"/>
      <c r="X405" s="7"/>
      <c r="Y405" s="7"/>
      <c r="Z405" s="7"/>
      <c r="AA405" s="7"/>
    </row>
    <row r="406">
      <c r="B406" s="2"/>
      <c r="M406" s="5"/>
      <c r="N406" s="6"/>
      <c r="O406" s="5"/>
      <c r="P406" s="5"/>
      <c r="W406" s="7"/>
      <c r="X406" s="7"/>
      <c r="Y406" s="7"/>
      <c r="Z406" s="7"/>
      <c r="AA406" s="7"/>
    </row>
    <row r="407">
      <c r="B407" s="2"/>
      <c r="M407" s="5"/>
      <c r="N407" s="6"/>
      <c r="O407" s="5"/>
      <c r="P407" s="5"/>
      <c r="W407" s="7"/>
      <c r="X407" s="7"/>
      <c r="Y407" s="7"/>
      <c r="Z407" s="7"/>
      <c r="AA407" s="7"/>
    </row>
    <row r="408">
      <c r="B408" s="2"/>
      <c r="M408" s="5"/>
      <c r="N408" s="6"/>
      <c r="O408" s="5"/>
      <c r="P408" s="5"/>
      <c r="W408" s="7"/>
      <c r="X408" s="7"/>
      <c r="Y408" s="7"/>
      <c r="Z408" s="7"/>
      <c r="AA408" s="7"/>
    </row>
    <row r="409">
      <c r="B409" s="2"/>
      <c r="M409" s="5"/>
      <c r="N409" s="6"/>
      <c r="O409" s="5"/>
      <c r="P409" s="5"/>
      <c r="W409" s="7"/>
      <c r="X409" s="7"/>
      <c r="Y409" s="7"/>
      <c r="Z409" s="7"/>
      <c r="AA409" s="7"/>
    </row>
    <row r="410">
      <c r="B410" s="2"/>
      <c r="M410" s="5"/>
      <c r="N410" s="6"/>
      <c r="O410" s="5"/>
      <c r="P410" s="5"/>
      <c r="W410" s="7"/>
      <c r="X410" s="7"/>
      <c r="Y410" s="7"/>
      <c r="Z410" s="7"/>
      <c r="AA410" s="7"/>
    </row>
    <row r="411">
      <c r="B411" s="2"/>
      <c r="M411" s="5"/>
      <c r="N411" s="6"/>
      <c r="O411" s="5"/>
      <c r="P411" s="5"/>
      <c r="W411" s="7"/>
      <c r="X411" s="7"/>
      <c r="Y411" s="7"/>
      <c r="Z411" s="7"/>
      <c r="AA411" s="7"/>
    </row>
    <row r="412">
      <c r="B412" s="2"/>
      <c r="M412" s="5"/>
      <c r="N412" s="6"/>
      <c r="O412" s="5"/>
      <c r="P412" s="5"/>
      <c r="W412" s="7"/>
      <c r="X412" s="7"/>
      <c r="Y412" s="7"/>
      <c r="Z412" s="7"/>
      <c r="AA412" s="7"/>
    </row>
    <row r="413">
      <c r="B413" s="2"/>
      <c r="M413" s="5"/>
      <c r="N413" s="6"/>
      <c r="O413" s="5"/>
      <c r="P413" s="5"/>
      <c r="W413" s="7"/>
      <c r="X413" s="7"/>
      <c r="Y413" s="7"/>
      <c r="Z413" s="7"/>
      <c r="AA413" s="7"/>
    </row>
    <row r="414">
      <c r="B414" s="2"/>
      <c r="M414" s="5"/>
      <c r="N414" s="6"/>
      <c r="O414" s="5"/>
      <c r="P414" s="5"/>
      <c r="W414" s="7"/>
      <c r="X414" s="7"/>
      <c r="Y414" s="7"/>
      <c r="Z414" s="7"/>
      <c r="AA414" s="7"/>
    </row>
    <row r="415">
      <c r="B415" s="2"/>
      <c r="M415" s="5"/>
      <c r="N415" s="6"/>
      <c r="O415" s="5"/>
      <c r="P415" s="5"/>
      <c r="W415" s="7"/>
      <c r="X415" s="7"/>
      <c r="Y415" s="7"/>
      <c r="Z415" s="7"/>
      <c r="AA415" s="7"/>
    </row>
    <row r="416">
      <c r="B416" s="2"/>
      <c r="M416" s="5"/>
      <c r="N416" s="6"/>
      <c r="O416" s="5"/>
      <c r="P416" s="5"/>
      <c r="W416" s="7"/>
      <c r="X416" s="7"/>
      <c r="Y416" s="7"/>
      <c r="Z416" s="7"/>
      <c r="AA416" s="7"/>
    </row>
    <row r="417">
      <c r="B417" s="2"/>
      <c r="M417" s="5"/>
      <c r="N417" s="6"/>
      <c r="O417" s="5"/>
      <c r="P417" s="5"/>
      <c r="W417" s="7"/>
      <c r="X417" s="7"/>
      <c r="Y417" s="7"/>
      <c r="Z417" s="7"/>
      <c r="AA417" s="7"/>
    </row>
    <row r="418">
      <c r="B418" s="2"/>
      <c r="M418" s="5"/>
      <c r="N418" s="6"/>
      <c r="O418" s="5"/>
      <c r="P418" s="5"/>
      <c r="W418" s="7"/>
      <c r="X418" s="7"/>
      <c r="Y418" s="7"/>
      <c r="Z418" s="7"/>
      <c r="AA418" s="7"/>
    </row>
    <row r="419">
      <c r="B419" s="2"/>
      <c r="M419" s="5"/>
      <c r="N419" s="6"/>
      <c r="O419" s="5"/>
      <c r="P419" s="5"/>
      <c r="W419" s="7"/>
      <c r="X419" s="7"/>
      <c r="Y419" s="7"/>
      <c r="Z419" s="7"/>
      <c r="AA419" s="7"/>
    </row>
    <row r="420">
      <c r="B420" s="2"/>
      <c r="M420" s="5"/>
      <c r="N420" s="6"/>
      <c r="O420" s="5"/>
      <c r="P420" s="5"/>
      <c r="W420" s="7"/>
      <c r="X420" s="7"/>
      <c r="Y420" s="7"/>
      <c r="Z420" s="7"/>
      <c r="AA420" s="7"/>
    </row>
    <row r="421">
      <c r="B421" s="2"/>
      <c r="M421" s="5"/>
      <c r="N421" s="6"/>
      <c r="O421" s="5"/>
      <c r="P421" s="5"/>
      <c r="W421" s="7"/>
      <c r="X421" s="7"/>
      <c r="Y421" s="7"/>
      <c r="Z421" s="7"/>
      <c r="AA421" s="7"/>
    </row>
    <row r="422">
      <c r="B422" s="2"/>
      <c r="M422" s="5"/>
      <c r="N422" s="6"/>
      <c r="O422" s="5"/>
      <c r="P422" s="5"/>
      <c r="W422" s="7"/>
      <c r="X422" s="7"/>
      <c r="Y422" s="7"/>
      <c r="Z422" s="7"/>
      <c r="AA422" s="7"/>
    </row>
    <row r="423">
      <c r="B423" s="2"/>
      <c r="M423" s="5"/>
      <c r="N423" s="6"/>
      <c r="O423" s="5"/>
      <c r="P423" s="5"/>
      <c r="W423" s="7"/>
      <c r="X423" s="7"/>
      <c r="Y423" s="7"/>
      <c r="Z423" s="7"/>
      <c r="AA423" s="7"/>
    </row>
    <row r="424">
      <c r="B424" s="2"/>
      <c r="M424" s="5"/>
      <c r="N424" s="6"/>
      <c r="O424" s="5"/>
      <c r="P424" s="5"/>
      <c r="W424" s="7"/>
      <c r="X424" s="7"/>
      <c r="Y424" s="7"/>
      <c r="Z424" s="7"/>
      <c r="AA424" s="7"/>
    </row>
    <row r="425">
      <c r="B425" s="2"/>
      <c r="M425" s="5"/>
      <c r="N425" s="6"/>
      <c r="O425" s="5"/>
      <c r="P425" s="5"/>
      <c r="W425" s="7"/>
      <c r="X425" s="7"/>
      <c r="Y425" s="7"/>
      <c r="Z425" s="7"/>
      <c r="AA425" s="7"/>
    </row>
    <row r="426">
      <c r="B426" s="2"/>
      <c r="M426" s="5"/>
      <c r="N426" s="6"/>
      <c r="O426" s="5"/>
      <c r="P426" s="5"/>
      <c r="W426" s="7"/>
      <c r="X426" s="7"/>
      <c r="Y426" s="7"/>
      <c r="Z426" s="7"/>
      <c r="AA426" s="7"/>
    </row>
    <row r="427">
      <c r="B427" s="2"/>
      <c r="M427" s="5"/>
      <c r="N427" s="6"/>
      <c r="O427" s="5"/>
      <c r="P427" s="5"/>
      <c r="W427" s="7"/>
      <c r="X427" s="7"/>
      <c r="Y427" s="7"/>
      <c r="Z427" s="7"/>
      <c r="AA427" s="7"/>
    </row>
    <row r="428">
      <c r="B428" s="2"/>
      <c r="M428" s="5"/>
      <c r="N428" s="6"/>
      <c r="O428" s="5"/>
      <c r="P428" s="5"/>
      <c r="W428" s="7"/>
      <c r="X428" s="7"/>
      <c r="Y428" s="7"/>
      <c r="Z428" s="7"/>
      <c r="AA428" s="7"/>
    </row>
    <row r="429">
      <c r="B429" s="2"/>
      <c r="M429" s="5"/>
      <c r="N429" s="6"/>
      <c r="O429" s="5"/>
      <c r="P429" s="5"/>
      <c r="W429" s="7"/>
      <c r="X429" s="7"/>
      <c r="Y429" s="7"/>
      <c r="Z429" s="7"/>
      <c r="AA429" s="7"/>
    </row>
    <row r="430">
      <c r="B430" s="2"/>
      <c r="M430" s="5"/>
      <c r="N430" s="6"/>
      <c r="O430" s="5"/>
      <c r="P430" s="5"/>
      <c r="W430" s="7"/>
      <c r="X430" s="7"/>
      <c r="Y430" s="7"/>
      <c r="Z430" s="7"/>
      <c r="AA430" s="7"/>
    </row>
    <row r="431">
      <c r="B431" s="2"/>
      <c r="M431" s="5"/>
      <c r="N431" s="6"/>
      <c r="O431" s="5"/>
      <c r="P431" s="5"/>
      <c r="W431" s="7"/>
      <c r="X431" s="7"/>
      <c r="Y431" s="7"/>
      <c r="Z431" s="7"/>
      <c r="AA431" s="7"/>
    </row>
    <row r="432">
      <c r="B432" s="2"/>
      <c r="M432" s="5"/>
      <c r="N432" s="6"/>
      <c r="O432" s="5"/>
      <c r="P432" s="5"/>
      <c r="W432" s="7"/>
      <c r="X432" s="7"/>
      <c r="Y432" s="7"/>
      <c r="Z432" s="7"/>
      <c r="AA432" s="7"/>
    </row>
    <row r="433">
      <c r="B433" s="2"/>
      <c r="M433" s="5"/>
      <c r="N433" s="6"/>
      <c r="O433" s="5"/>
      <c r="P433" s="5"/>
      <c r="W433" s="7"/>
      <c r="X433" s="7"/>
      <c r="Y433" s="7"/>
      <c r="Z433" s="7"/>
      <c r="AA433" s="7"/>
    </row>
    <row r="434">
      <c r="B434" s="2"/>
      <c r="M434" s="5"/>
      <c r="N434" s="6"/>
      <c r="O434" s="5"/>
      <c r="P434" s="5"/>
      <c r="W434" s="7"/>
      <c r="X434" s="7"/>
      <c r="Y434" s="7"/>
      <c r="Z434" s="7"/>
      <c r="AA434" s="7"/>
    </row>
    <row r="435">
      <c r="B435" s="2"/>
      <c r="M435" s="5"/>
      <c r="N435" s="6"/>
      <c r="O435" s="5"/>
      <c r="P435" s="5"/>
      <c r="W435" s="7"/>
      <c r="X435" s="7"/>
      <c r="Y435" s="7"/>
      <c r="Z435" s="7"/>
      <c r="AA435" s="7"/>
    </row>
    <row r="436">
      <c r="B436" s="2"/>
      <c r="M436" s="5"/>
      <c r="N436" s="6"/>
      <c r="O436" s="5"/>
      <c r="P436" s="5"/>
      <c r="W436" s="7"/>
      <c r="X436" s="7"/>
      <c r="Y436" s="7"/>
      <c r="Z436" s="7"/>
      <c r="AA436" s="7"/>
    </row>
    <row r="437">
      <c r="B437" s="2"/>
      <c r="M437" s="5"/>
      <c r="N437" s="6"/>
      <c r="O437" s="5"/>
      <c r="P437" s="5"/>
      <c r="W437" s="7"/>
      <c r="X437" s="7"/>
      <c r="Y437" s="7"/>
      <c r="Z437" s="7"/>
      <c r="AA437" s="7"/>
    </row>
    <row r="438">
      <c r="B438" s="2"/>
      <c r="M438" s="5"/>
      <c r="N438" s="6"/>
      <c r="O438" s="5"/>
      <c r="P438" s="5"/>
      <c r="W438" s="7"/>
      <c r="X438" s="7"/>
      <c r="Y438" s="7"/>
      <c r="Z438" s="7"/>
      <c r="AA438" s="7"/>
    </row>
    <row r="439">
      <c r="B439" s="2"/>
      <c r="M439" s="5"/>
      <c r="N439" s="6"/>
      <c r="O439" s="5"/>
      <c r="P439" s="5"/>
      <c r="W439" s="7"/>
      <c r="X439" s="7"/>
      <c r="Y439" s="7"/>
      <c r="Z439" s="7"/>
      <c r="AA439" s="7"/>
    </row>
    <row r="440">
      <c r="B440" s="2"/>
      <c r="M440" s="5"/>
      <c r="N440" s="6"/>
      <c r="O440" s="5"/>
      <c r="P440" s="5"/>
      <c r="W440" s="7"/>
      <c r="X440" s="7"/>
      <c r="Y440" s="7"/>
      <c r="Z440" s="7"/>
      <c r="AA440" s="7"/>
    </row>
    <row r="441">
      <c r="B441" s="2"/>
      <c r="M441" s="5"/>
      <c r="N441" s="6"/>
      <c r="O441" s="5"/>
      <c r="P441" s="5"/>
      <c r="W441" s="7"/>
      <c r="X441" s="7"/>
      <c r="Y441" s="7"/>
      <c r="Z441" s="7"/>
      <c r="AA441" s="7"/>
    </row>
    <row r="442">
      <c r="B442" s="2"/>
      <c r="M442" s="5"/>
      <c r="N442" s="6"/>
      <c r="O442" s="5"/>
      <c r="P442" s="5"/>
      <c r="W442" s="7"/>
      <c r="X442" s="7"/>
      <c r="Y442" s="7"/>
      <c r="Z442" s="7"/>
      <c r="AA442" s="7"/>
    </row>
    <row r="443">
      <c r="B443" s="2"/>
      <c r="M443" s="5"/>
      <c r="N443" s="6"/>
      <c r="O443" s="5"/>
      <c r="P443" s="5"/>
      <c r="W443" s="7"/>
      <c r="X443" s="7"/>
      <c r="Y443" s="7"/>
      <c r="Z443" s="7"/>
      <c r="AA443" s="7"/>
    </row>
    <row r="444">
      <c r="B444" s="2"/>
      <c r="M444" s="5"/>
      <c r="N444" s="6"/>
      <c r="O444" s="5"/>
      <c r="P444" s="5"/>
      <c r="W444" s="7"/>
      <c r="X444" s="7"/>
      <c r="Y444" s="7"/>
      <c r="Z444" s="7"/>
      <c r="AA444" s="7"/>
    </row>
    <row r="445">
      <c r="B445" s="2"/>
      <c r="M445" s="5"/>
      <c r="N445" s="6"/>
      <c r="O445" s="5"/>
      <c r="P445" s="5"/>
      <c r="W445" s="7"/>
      <c r="X445" s="7"/>
      <c r="Y445" s="7"/>
      <c r="Z445" s="7"/>
      <c r="AA445" s="7"/>
    </row>
    <row r="446">
      <c r="B446" s="2"/>
      <c r="M446" s="5"/>
      <c r="N446" s="6"/>
      <c r="O446" s="5"/>
      <c r="P446" s="5"/>
      <c r="W446" s="7"/>
      <c r="X446" s="7"/>
      <c r="Y446" s="7"/>
      <c r="Z446" s="7"/>
      <c r="AA446" s="7"/>
    </row>
    <row r="447">
      <c r="B447" s="2"/>
      <c r="M447" s="5"/>
      <c r="N447" s="6"/>
      <c r="O447" s="5"/>
      <c r="P447" s="5"/>
      <c r="W447" s="7"/>
      <c r="X447" s="7"/>
      <c r="Y447" s="7"/>
      <c r="Z447" s="7"/>
      <c r="AA447" s="7"/>
    </row>
    <row r="448">
      <c r="B448" s="2"/>
      <c r="M448" s="5"/>
      <c r="N448" s="6"/>
      <c r="O448" s="5"/>
      <c r="P448" s="5"/>
      <c r="W448" s="7"/>
      <c r="X448" s="7"/>
      <c r="Y448" s="7"/>
      <c r="Z448" s="7"/>
      <c r="AA448" s="7"/>
    </row>
    <row r="449">
      <c r="B449" s="2"/>
      <c r="M449" s="5"/>
      <c r="N449" s="6"/>
      <c r="O449" s="5"/>
      <c r="P449" s="5"/>
      <c r="W449" s="7"/>
      <c r="X449" s="7"/>
      <c r="Y449" s="7"/>
      <c r="Z449" s="7"/>
      <c r="AA449" s="7"/>
    </row>
    <row r="450">
      <c r="B450" s="2"/>
      <c r="M450" s="5"/>
      <c r="N450" s="6"/>
      <c r="O450" s="5"/>
      <c r="P450" s="5"/>
      <c r="W450" s="7"/>
      <c r="X450" s="7"/>
      <c r="Y450" s="7"/>
      <c r="Z450" s="7"/>
      <c r="AA450" s="7"/>
    </row>
    <row r="451">
      <c r="B451" s="2"/>
      <c r="M451" s="5"/>
      <c r="N451" s="6"/>
      <c r="O451" s="5"/>
      <c r="P451" s="5"/>
      <c r="W451" s="7"/>
      <c r="X451" s="7"/>
      <c r="Y451" s="7"/>
      <c r="Z451" s="7"/>
      <c r="AA451" s="7"/>
    </row>
    <row r="452">
      <c r="B452" s="2"/>
      <c r="M452" s="5"/>
      <c r="N452" s="6"/>
      <c r="O452" s="5"/>
      <c r="P452" s="5"/>
      <c r="W452" s="7"/>
      <c r="X452" s="7"/>
      <c r="Y452" s="7"/>
      <c r="Z452" s="7"/>
      <c r="AA452" s="7"/>
    </row>
    <row r="453">
      <c r="B453" s="2"/>
      <c r="M453" s="5"/>
      <c r="N453" s="6"/>
      <c r="O453" s="5"/>
      <c r="P453" s="5"/>
      <c r="W453" s="7"/>
      <c r="X453" s="7"/>
      <c r="Y453" s="7"/>
      <c r="Z453" s="7"/>
      <c r="AA453" s="7"/>
    </row>
    <row r="454">
      <c r="B454" s="2"/>
      <c r="M454" s="5"/>
      <c r="N454" s="6"/>
      <c r="O454" s="5"/>
      <c r="P454" s="5"/>
      <c r="W454" s="7"/>
      <c r="X454" s="7"/>
      <c r="Y454" s="7"/>
      <c r="Z454" s="7"/>
      <c r="AA454" s="7"/>
    </row>
    <row r="455">
      <c r="B455" s="2"/>
      <c r="M455" s="5"/>
      <c r="N455" s="6"/>
      <c r="O455" s="5"/>
      <c r="P455" s="5"/>
      <c r="W455" s="7"/>
      <c r="X455" s="7"/>
      <c r="Y455" s="7"/>
      <c r="Z455" s="7"/>
      <c r="AA455" s="7"/>
    </row>
    <row r="456">
      <c r="B456" s="2"/>
      <c r="M456" s="5"/>
      <c r="N456" s="6"/>
      <c r="O456" s="5"/>
      <c r="P456" s="5"/>
      <c r="W456" s="7"/>
      <c r="X456" s="7"/>
      <c r="Y456" s="7"/>
      <c r="Z456" s="7"/>
      <c r="AA456" s="7"/>
    </row>
    <row r="457">
      <c r="B457" s="2"/>
      <c r="M457" s="5"/>
      <c r="N457" s="6"/>
      <c r="O457" s="5"/>
      <c r="P457" s="5"/>
      <c r="W457" s="7"/>
      <c r="X457" s="7"/>
      <c r="Y457" s="7"/>
      <c r="Z457" s="7"/>
      <c r="AA457" s="7"/>
    </row>
    <row r="458">
      <c r="B458" s="2"/>
      <c r="M458" s="5"/>
      <c r="N458" s="6"/>
      <c r="O458" s="5"/>
      <c r="P458" s="5"/>
      <c r="W458" s="7"/>
      <c r="X458" s="7"/>
      <c r="Y458" s="7"/>
      <c r="Z458" s="7"/>
      <c r="AA458" s="7"/>
    </row>
    <row r="459">
      <c r="B459" s="2"/>
      <c r="M459" s="5"/>
      <c r="N459" s="6"/>
      <c r="O459" s="5"/>
      <c r="P459" s="5"/>
      <c r="W459" s="7"/>
      <c r="X459" s="7"/>
      <c r="Y459" s="7"/>
      <c r="Z459" s="7"/>
      <c r="AA459" s="7"/>
    </row>
    <row r="460">
      <c r="B460" s="2"/>
      <c r="M460" s="5"/>
      <c r="N460" s="6"/>
      <c r="O460" s="5"/>
      <c r="P460" s="5"/>
      <c r="W460" s="7"/>
      <c r="X460" s="7"/>
      <c r="Y460" s="7"/>
      <c r="Z460" s="7"/>
      <c r="AA460" s="7"/>
    </row>
    <row r="461">
      <c r="B461" s="2"/>
      <c r="M461" s="5"/>
      <c r="N461" s="6"/>
      <c r="O461" s="5"/>
      <c r="P461" s="5"/>
      <c r="W461" s="7"/>
      <c r="X461" s="7"/>
      <c r="Y461" s="7"/>
      <c r="Z461" s="7"/>
      <c r="AA461" s="7"/>
    </row>
    <row r="462">
      <c r="B462" s="2"/>
      <c r="M462" s="5"/>
      <c r="N462" s="6"/>
      <c r="O462" s="5"/>
      <c r="P462" s="5"/>
      <c r="W462" s="7"/>
      <c r="X462" s="7"/>
      <c r="Y462" s="7"/>
      <c r="Z462" s="7"/>
      <c r="AA462" s="7"/>
    </row>
    <row r="463">
      <c r="B463" s="2"/>
      <c r="M463" s="5"/>
      <c r="N463" s="6"/>
      <c r="O463" s="5"/>
      <c r="P463" s="5"/>
      <c r="W463" s="7"/>
      <c r="X463" s="7"/>
      <c r="Y463" s="7"/>
      <c r="Z463" s="7"/>
      <c r="AA463" s="7"/>
    </row>
    <row r="464">
      <c r="B464" s="2"/>
      <c r="M464" s="5"/>
      <c r="N464" s="6"/>
      <c r="O464" s="5"/>
      <c r="P464" s="5"/>
      <c r="W464" s="7"/>
      <c r="X464" s="7"/>
      <c r="Y464" s="7"/>
      <c r="Z464" s="7"/>
      <c r="AA464" s="7"/>
    </row>
    <row r="465">
      <c r="B465" s="2"/>
      <c r="M465" s="5"/>
      <c r="N465" s="6"/>
      <c r="O465" s="5"/>
      <c r="P465" s="5"/>
      <c r="W465" s="7"/>
      <c r="X465" s="7"/>
      <c r="Y465" s="7"/>
      <c r="Z465" s="7"/>
      <c r="AA465" s="7"/>
    </row>
    <row r="466">
      <c r="B466" s="2"/>
      <c r="M466" s="5"/>
      <c r="N466" s="6"/>
      <c r="O466" s="5"/>
      <c r="P466" s="5"/>
      <c r="W466" s="7"/>
      <c r="X466" s="7"/>
      <c r="Y466" s="7"/>
      <c r="Z466" s="7"/>
      <c r="AA466" s="7"/>
    </row>
    <row r="467">
      <c r="B467" s="2"/>
      <c r="M467" s="5"/>
      <c r="N467" s="6"/>
      <c r="O467" s="5"/>
      <c r="P467" s="5"/>
      <c r="W467" s="7"/>
      <c r="X467" s="7"/>
      <c r="Y467" s="7"/>
      <c r="Z467" s="7"/>
      <c r="AA467" s="7"/>
    </row>
    <row r="468">
      <c r="B468" s="2"/>
      <c r="M468" s="5"/>
      <c r="N468" s="6"/>
      <c r="O468" s="5"/>
      <c r="P468" s="5"/>
      <c r="W468" s="7"/>
      <c r="X468" s="7"/>
      <c r="Y468" s="7"/>
      <c r="Z468" s="7"/>
      <c r="AA468" s="7"/>
    </row>
    <row r="469">
      <c r="B469" s="2"/>
      <c r="M469" s="5"/>
      <c r="N469" s="6"/>
      <c r="O469" s="5"/>
      <c r="P469" s="5"/>
      <c r="W469" s="7"/>
      <c r="X469" s="7"/>
      <c r="Y469" s="7"/>
      <c r="Z469" s="7"/>
      <c r="AA469" s="7"/>
    </row>
    <row r="470">
      <c r="B470" s="2"/>
      <c r="M470" s="5"/>
      <c r="N470" s="6"/>
      <c r="O470" s="5"/>
      <c r="P470" s="5"/>
      <c r="W470" s="7"/>
      <c r="X470" s="7"/>
      <c r="Y470" s="7"/>
      <c r="Z470" s="7"/>
      <c r="AA470" s="7"/>
    </row>
    <row r="471">
      <c r="B471" s="2"/>
      <c r="M471" s="5"/>
      <c r="N471" s="6"/>
      <c r="O471" s="5"/>
      <c r="P471" s="5"/>
      <c r="W471" s="7"/>
      <c r="X471" s="7"/>
      <c r="Y471" s="7"/>
      <c r="Z471" s="7"/>
      <c r="AA471" s="7"/>
    </row>
    <row r="472">
      <c r="B472" s="2"/>
      <c r="M472" s="5"/>
      <c r="N472" s="6"/>
      <c r="O472" s="5"/>
      <c r="P472" s="5"/>
      <c r="W472" s="7"/>
      <c r="X472" s="7"/>
      <c r="Y472" s="7"/>
      <c r="Z472" s="7"/>
      <c r="AA472" s="7"/>
    </row>
    <row r="473">
      <c r="B473" s="2"/>
      <c r="M473" s="5"/>
      <c r="N473" s="6"/>
      <c r="O473" s="5"/>
      <c r="P473" s="5"/>
      <c r="W473" s="7"/>
      <c r="X473" s="7"/>
      <c r="Y473" s="7"/>
      <c r="Z473" s="7"/>
      <c r="AA473" s="7"/>
    </row>
    <row r="474">
      <c r="B474" s="2"/>
      <c r="M474" s="5"/>
      <c r="N474" s="6"/>
      <c r="O474" s="5"/>
      <c r="P474" s="5"/>
      <c r="W474" s="7"/>
      <c r="X474" s="7"/>
      <c r="Y474" s="7"/>
      <c r="Z474" s="7"/>
      <c r="AA474" s="7"/>
    </row>
    <row r="475">
      <c r="B475" s="2"/>
      <c r="M475" s="5"/>
      <c r="N475" s="6"/>
      <c r="O475" s="5"/>
      <c r="P475" s="5"/>
      <c r="W475" s="7"/>
      <c r="X475" s="7"/>
      <c r="Y475" s="7"/>
      <c r="Z475" s="7"/>
      <c r="AA475" s="7"/>
    </row>
    <row r="476">
      <c r="B476" s="2"/>
      <c r="M476" s="5"/>
      <c r="N476" s="6"/>
      <c r="O476" s="5"/>
      <c r="P476" s="5"/>
      <c r="W476" s="7"/>
      <c r="X476" s="7"/>
      <c r="Y476" s="7"/>
      <c r="Z476" s="7"/>
      <c r="AA476" s="7"/>
    </row>
    <row r="477">
      <c r="B477" s="2"/>
      <c r="M477" s="5"/>
      <c r="N477" s="6"/>
      <c r="O477" s="5"/>
      <c r="P477" s="5"/>
      <c r="W477" s="7"/>
      <c r="X477" s="7"/>
      <c r="Y477" s="7"/>
      <c r="Z477" s="7"/>
      <c r="AA477" s="7"/>
    </row>
    <row r="478">
      <c r="B478" s="2"/>
      <c r="M478" s="5"/>
      <c r="N478" s="6"/>
      <c r="O478" s="5"/>
      <c r="P478" s="5"/>
      <c r="W478" s="7"/>
      <c r="X478" s="7"/>
      <c r="Y478" s="7"/>
      <c r="Z478" s="7"/>
      <c r="AA478" s="7"/>
    </row>
    <row r="479">
      <c r="B479" s="2"/>
      <c r="M479" s="5"/>
      <c r="N479" s="6"/>
      <c r="O479" s="5"/>
      <c r="P479" s="5"/>
      <c r="W479" s="7"/>
      <c r="X479" s="7"/>
      <c r="Y479" s="7"/>
      <c r="Z479" s="7"/>
      <c r="AA479" s="7"/>
    </row>
    <row r="480">
      <c r="B480" s="2"/>
      <c r="M480" s="5"/>
      <c r="N480" s="6"/>
      <c r="O480" s="5"/>
      <c r="P480" s="5"/>
      <c r="W480" s="7"/>
      <c r="X480" s="7"/>
      <c r="Y480" s="7"/>
      <c r="Z480" s="7"/>
      <c r="AA480" s="7"/>
    </row>
    <row r="481">
      <c r="B481" s="2"/>
      <c r="M481" s="5"/>
      <c r="N481" s="6"/>
      <c r="O481" s="5"/>
      <c r="P481" s="5"/>
      <c r="W481" s="7"/>
      <c r="X481" s="7"/>
      <c r="Y481" s="7"/>
      <c r="Z481" s="7"/>
      <c r="AA481" s="7"/>
    </row>
    <row r="482">
      <c r="B482" s="2"/>
      <c r="M482" s="5"/>
      <c r="N482" s="6"/>
      <c r="O482" s="5"/>
      <c r="P482" s="5"/>
      <c r="W482" s="7"/>
      <c r="X482" s="7"/>
      <c r="Y482" s="7"/>
      <c r="Z482" s="7"/>
      <c r="AA482" s="7"/>
    </row>
    <row r="483">
      <c r="B483" s="2"/>
      <c r="M483" s="5"/>
      <c r="N483" s="6"/>
      <c r="O483" s="5"/>
      <c r="P483" s="5"/>
      <c r="W483" s="7"/>
      <c r="X483" s="7"/>
      <c r="Y483" s="7"/>
      <c r="Z483" s="7"/>
      <c r="AA483" s="7"/>
    </row>
    <row r="484">
      <c r="B484" s="2"/>
      <c r="M484" s="5"/>
      <c r="N484" s="6"/>
      <c r="O484" s="5"/>
      <c r="P484" s="5"/>
      <c r="W484" s="7"/>
      <c r="X484" s="7"/>
      <c r="Y484" s="7"/>
      <c r="Z484" s="7"/>
      <c r="AA484" s="7"/>
    </row>
    <row r="485">
      <c r="B485" s="2"/>
      <c r="M485" s="5"/>
      <c r="N485" s="6"/>
      <c r="O485" s="5"/>
      <c r="P485" s="5"/>
      <c r="W485" s="7"/>
      <c r="X485" s="7"/>
      <c r="Y485" s="7"/>
      <c r="Z485" s="7"/>
      <c r="AA485" s="7"/>
    </row>
    <row r="486">
      <c r="B486" s="2"/>
      <c r="M486" s="5"/>
      <c r="N486" s="6"/>
      <c r="O486" s="5"/>
      <c r="P486" s="5"/>
      <c r="W486" s="7"/>
      <c r="X486" s="7"/>
      <c r="Y486" s="7"/>
      <c r="Z486" s="7"/>
      <c r="AA486" s="7"/>
    </row>
    <row r="487">
      <c r="B487" s="2"/>
      <c r="M487" s="5"/>
      <c r="N487" s="6"/>
      <c r="O487" s="5"/>
      <c r="P487" s="5"/>
      <c r="W487" s="7"/>
      <c r="X487" s="7"/>
      <c r="Y487" s="7"/>
      <c r="Z487" s="7"/>
      <c r="AA487" s="7"/>
    </row>
    <row r="488">
      <c r="B488" s="2"/>
      <c r="M488" s="5"/>
      <c r="N488" s="6"/>
      <c r="O488" s="5"/>
      <c r="P488" s="5"/>
      <c r="W488" s="7"/>
      <c r="X488" s="7"/>
      <c r="Y488" s="7"/>
      <c r="Z488" s="7"/>
      <c r="AA488" s="7"/>
    </row>
    <row r="489">
      <c r="B489" s="2"/>
      <c r="M489" s="5"/>
      <c r="N489" s="6"/>
      <c r="O489" s="5"/>
      <c r="P489" s="5"/>
      <c r="W489" s="7"/>
      <c r="X489" s="7"/>
      <c r="Y489" s="7"/>
      <c r="Z489" s="7"/>
      <c r="AA489" s="7"/>
    </row>
    <row r="490">
      <c r="B490" s="2"/>
      <c r="M490" s="5"/>
      <c r="N490" s="6"/>
      <c r="O490" s="5"/>
      <c r="P490" s="5"/>
      <c r="W490" s="7"/>
      <c r="X490" s="7"/>
      <c r="Y490" s="7"/>
      <c r="Z490" s="7"/>
      <c r="AA490" s="7"/>
    </row>
    <row r="491">
      <c r="B491" s="2"/>
      <c r="M491" s="5"/>
      <c r="N491" s="6"/>
      <c r="O491" s="5"/>
      <c r="P491" s="5"/>
      <c r="W491" s="7"/>
      <c r="X491" s="7"/>
      <c r="Y491" s="7"/>
      <c r="Z491" s="7"/>
      <c r="AA491" s="7"/>
    </row>
    <row r="492">
      <c r="B492" s="2"/>
      <c r="M492" s="5"/>
      <c r="N492" s="6"/>
      <c r="O492" s="5"/>
      <c r="P492" s="5"/>
      <c r="W492" s="7"/>
      <c r="X492" s="7"/>
      <c r="Y492" s="7"/>
      <c r="Z492" s="7"/>
      <c r="AA492" s="7"/>
    </row>
    <row r="493">
      <c r="B493" s="2"/>
      <c r="M493" s="5"/>
      <c r="N493" s="6"/>
      <c r="O493" s="5"/>
      <c r="P493" s="5"/>
      <c r="W493" s="7"/>
      <c r="X493" s="7"/>
      <c r="Y493" s="7"/>
      <c r="Z493" s="7"/>
      <c r="AA493" s="7"/>
    </row>
    <row r="494">
      <c r="B494" s="2"/>
      <c r="M494" s="5"/>
      <c r="N494" s="6"/>
      <c r="O494" s="5"/>
      <c r="P494" s="5"/>
      <c r="W494" s="7"/>
      <c r="X494" s="7"/>
      <c r="Y494" s="7"/>
      <c r="Z494" s="7"/>
      <c r="AA494" s="7"/>
    </row>
    <row r="495">
      <c r="B495" s="2"/>
      <c r="M495" s="5"/>
      <c r="N495" s="6"/>
      <c r="O495" s="5"/>
      <c r="P495" s="5"/>
      <c r="W495" s="7"/>
      <c r="X495" s="7"/>
      <c r="Y495" s="7"/>
      <c r="Z495" s="7"/>
      <c r="AA495" s="7"/>
    </row>
    <row r="496">
      <c r="B496" s="2"/>
      <c r="M496" s="5"/>
      <c r="N496" s="6"/>
      <c r="O496" s="5"/>
      <c r="P496" s="5"/>
      <c r="W496" s="7"/>
      <c r="X496" s="7"/>
      <c r="Y496" s="7"/>
      <c r="Z496" s="7"/>
      <c r="AA496" s="7"/>
    </row>
    <row r="497">
      <c r="B497" s="2"/>
      <c r="M497" s="5"/>
      <c r="N497" s="6"/>
      <c r="O497" s="5"/>
      <c r="P497" s="5"/>
      <c r="W497" s="7"/>
      <c r="X497" s="7"/>
      <c r="Y497" s="7"/>
      <c r="Z497" s="7"/>
      <c r="AA497" s="7"/>
    </row>
    <row r="498">
      <c r="B498" s="2"/>
      <c r="M498" s="5"/>
      <c r="N498" s="6"/>
      <c r="O498" s="5"/>
      <c r="P498" s="5"/>
      <c r="W498" s="7"/>
      <c r="X498" s="7"/>
      <c r="Y498" s="7"/>
      <c r="Z498" s="7"/>
      <c r="AA498" s="7"/>
    </row>
    <row r="499">
      <c r="B499" s="2"/>
      <c r="M499" s="5"/>
      <c r="N499" s="6"/>
      <c r="O499" s="5"/>
      <c r="P499" s="5"/>
      <c r="W499" s="7"/>
      <c r="X499" s="7"/>
      <c r="Y499" s="7"/>
      <c r="Z499" s="7"/>
      <c r="AA499" s="7"/>
    </row>
    <row r="500">
      <c r="B500" s="2"/>
      <c r="M500" s="5"/>
      <c r="N500" s="6"/>
      <c r="O500" s="5"/>
      <c r="P500" s="5"/>
      <c r="W500" s="7"/>
      <c r="X500" s="7"/>
      <c r="Y500" s="7"/>
      <c r="Z500" s="7"/>
      <c r="AA500" s="7"/>
    </row>
    <row r="501">
      <c r="B501" s="2"/>
      <c r="M501" s="5"/>
      <c r="N501" s="6"/>
      <c r="O501" s="5"/>
      <c r="P501" s="5"/>
      <c r="W501" s="7"/>
      <c r="X501" s="7"/>
      <c r="Y501" s="7"/>
      <c r="Z501" s="7"/>
      <c r="AA501" s="7"/>
    </row>
    <row r="502">
      <c r="B502" s="2"/>
      <c r="M502" s="5"/>
      <c r="N502" s="6"/>
      <c r="O502" s="5"/>
      <c r="P502" s="5"/>
      <c r="W502" s="7"/>
      <c r="X502" s="7"/>
      <c r="Y502" s="7"/>
      <c r="Z502" s="7"/>
      <c r="AA502" s="7"/>
    </row>
    <row r="503">
      <c r="B503" s="2"/>
      <c r="M503" s="5"/>
      <c r="N503" s="6"/>
      <c r="O503" s="5"/>
      <c r="P503" s="5"/>
      <c r="W503" s="7"/>
      <c r="X503" s="7"/>
      <c r="Y503" s="7"/>
      <c r="Z503" s="7"/>
      <c r="AA503" s="7"/>
    </row>
    <row r="504">
      <c r="B504" s="2"/>
      <c r="M504" s="5"/>
      <c r="N504" s="6"/>
      <c r="O504" s="5"/>
      <c r="P504" s="5"/>
      <c r="W504" s="7"/>
      <c r="X504" s="7"/>
      <c r="Y504" s="7"/>
      <c r="Z504" s="7"/>
      <c r="AA504" s="7"/>
    </row>
    <row r="505">
      <c r="B505" s="2"/>
      <c r="M505" s="5"/>
      <c r="N505" s="6"/>
      <c r="O505" s="5"/>
      <c r="P505" s="5"/>
      <c r="W505" s="7"/>
      <c r="X505" s="7"/>
      <c r="Y505" s="7"/>
      <c r="Z505" s="7"/>
      <c r="AA505" s="7"/>
    </row>
    <row r="506">
      <c r="B506" s="2"/>
      <c r="M506" s="5"/>
      <c r="N506" s="6"/>
      <c r="O506" s="5"/>
      <c r="P506" s="5"/>
      <c r="W506" s="7"/>
      <c r="X506" s="7"/>
      <c r="Y506" s="7"/>
      <c r="Z506" s="7"/>
      <c r="AA506" s="7"/>
    </row>
    <row r="507">
      <c r="B507" s="2"/>
      <c r="M507" s="5"/>
      <c r="N507" s="6"/>
      <c r="O507" s="5"/>
      <c r="P507" s="5"/>
      <c r="W507" s="7"/>
      <c r="X507" s="7"/>
      <c r="Y507" s="7"/>
      <c r="Z507" s="7"/>
      <c r="AA507" s="7"/>
    </row>
    <row r="508">
      <c r="B508" s="2"/>
      <c r="M508" s="5"/>
      <c r="N508" s="6"/>
      <c r="O508" s="5"/>
      <c r="P508" s="5"/>
      <c r="W508" s="7"/>
      <c r="X508" s="7"/>
      <c r="Y508" s="7"/>
      <c r="Z508" s="7"/>
      <c r="AA508" s="7"/>
    </row>
    <row r="509">
      <c r="B509" s="2"/>
      <c r="M509" s="5"/>
      <c r="N509" s="6"/>
      <c r="O509" s="5"/>
      <c r="P509" s="5"/>
      <c r="W509" s="7"/>
      <c r="X509" s="7"/>
      <c r="Y509" s="7"/>
      <c r="Z509" s="7"/>
      <c r="AA509" s="7"/>
    </row>
    <row r="510">
      <c r="B510" s="2"/>
      <c r="M510" s="5"/>
      <c r="N510" s="6"/>
      <c r="O510" s="5"/>
      <c r="P510" s="5"/>
      <c r="W510" s="7"/>
      <c r="X510" s="7"/>
      <c r="Y510" s="7"/>
      <c r="Z510" s="7"/>
      <c r="AA510" s="7"/>
    </row>
    <row r="511">
      <c r="B511" s="2"/>
      <c r="M511" s="5"/>
      <c r="N511" s="6"/>
      <c r="O511" s="5"/>
      <c r="P511" s="5"/>
      <c r="W511" s="7"/>
      <c r="X511" s="7"/>
      <c r="Y511" s="7"/>
      <c r="Z511" s="7"/>
      <c r="AA511" s="7"/>
    </row>
    <row r="512">
      <c r="B512" s="2"/>
      <c r="M512" s="5"/>
      <c r="N512" s="6"/>
      <c r="O512" s="5"/>
      <c r="P512" s="5"/>
      <c r="W512" s="7"/>
      <c r="X512" s="7"/>
      <c r="Y512" s="7"/>
      <c r="Z512" s="7"/>
      <c r="AA512" s="7"/>
    </row>
    <row r="513">
      <c r="B513" s="2"/>
      <c r="M513" s="5"/>
      <c r="N513" s="6"/>
      <c r="O513" s="5"/>
      <c r="P513" s="5"/>
      <c r="W513" s="7"/>
      <c r="X513" s="7"/>
      <c r="Y513" s="7"/>
      <c r="Z513" s="7"/>
      <c r="AA513" s="7"/>
    </row>
    <row r="514">
      <c r="B514" s="2"/>
      <c r="M514" s="5"/>
      <c r="N514" s="6"/>
      <c r="O514" s="5"/>
      <c r="P514" s="5"/>
      <c r="W514" s="7"/>
      <c r="X514" s="7"/>
      <c r="Y514" s="7"/>
      <c r="Z514" s="7"/>
      <c r="AA514" s="7"/>
    </row>
    <row r="515">
      <c r="B515" s="2"/>
      <c r="M515" s="5"/>
      <c r="N515" s="6"/>
      <c r="O515" s="5"/>
      <c r="P515" s="5"/>
      <c r="W515" s="7"/>
      <c r="X515" s="7"/>
      <c r="Y515" s="7"/>
      <c r="Z515" s="7"/>
      <c r="AA515" s="7"/>
    </row>
    <row r="516">
      <c r="B516" s="2"/>
      <c r="M516" s="5"/>
      <c r="N516" s="6"/>
      <c r="O516" s="5"/>
      <c r="P516" s="5"/>
      <c r="W516" s="7"/>
      <c r="X516" s="7"/>
      <c r="Y516" s="7"/>
      <c r="Z516" s="7"/>
      <c r="AA516" s="7"/>
    </row>
    <row r="517">
      <c r="B517" s="2"/>
      <c r="M517" s="5"/>
      <c r="N517" s="6"/>
      <c r="O517" s="5"/>
      <c r="P517" s="5"/>
      <c r="W517" s="7"/>
      <c r="X517" s="7"/>
      <c r="Y517" s="7"/>
      <c r="Z517" s="7"/>
      <c r="AA517" s="7"/>
    </row>
    <row r="518">
      <c r="B518" s="2"/>
      <c r="M518" s="5"/>
      <c r="N518" s="6"/>
      <c r="O518" s="5"/>
      <c r="P518" s="5"/>
      <c r="W518" s="7"/>
      <c r="X518" s="7"/>
      <c r="Y518" s="7"/>
      <c r="Z518" s="7"/>
      <c r="AA518" s="7"/>
    </row>
    <row r="519">
      <c r="B519" s="2"/>
      <c r="M519" s="5"/>
      <c r="N519" s="6"/>
      <c r="O519" s="5"/>
      <c r="P519" s="5"/>
      <c r="W519" s="7"/>
      <c r="X519" s="7"/>
      <c r="Y519" s="7"/>
      <c r="Z519" s="7"/>
      <c r="AA519" s="7"/>
    </row>
    <row r="520">
      <c r="B520" s="2"/>
      <c r="M520" s="5"/>
      <c r="N520" s="6"/>
      <c r="O520" s="5"/>
      <c r="P520" s="5"/>
      <c r="W520" s="7"/>
      <c r="X520" s="7"/>
      <c r="Y520" s="7"/>
      <c r="Z520" s="7"/>
      <c r="AA520" s="7"/>
    </row>
    <row r="521">
      <c r="B521" s="2"/>
      <c r="M521" s="5"/>
      <c r="N521" s="6"/>
      <c r="O521" s="5"/>
      <c r="P521" s="5"/>
      <c r="W521" s="7"/>
      <c r="X521" s="7"/>
      <c r="Y521" s="7"/>
      <c r="Z521" s="7"/>
      <c r="AA521" s="7"/>
    </row>
    <row r="522">
      <c r="B522" s="2"/>
      <c r="M522" s="5"/>
      <c r="N522" s="6"/>
      <c r="O522" s="5"/>
      <c r="P522" s="5"/>
      <c r="W522" s="7"/>
      <c r="X522" s="7"/>
      <c r="Y522" s="7"/>
      <c r="Z522" s="7"/>
      <c r="AA522" s="7"/>
    </row>
    <row r="523">
      <c r="B523" s="2"/>
      <c r="M523" s="5"/>
      <c r="N523" s="6"/>
      <c r="O523" s="5"/>
      <c r="P523" s="5"/>
      <c r="W523" s="7"/>
      <c r="X523" s="7"/>
      <c r="Y523" s="7"/>
      <c r="Z523" s="7"/>
      <c r="AA523" s="7"/>
    </row>
    <row r="524">
      <c r="B524" s="2"/>
      <c r="M524" s="5"/>
      <c r="N524" s="6"/>
      <c r="O524" s="5"/>
      <c r="P524" s="5"/>
      <c r="W524" s="7"/>
      <c r="X524" s="7"/>
      <c r="Y524" s="7"/>
      <c r="Z524" s="7"/>
      <c r="AA524" s="7"/>
    </row>
    <row r="525">
      <c r="B525" s="2"/>
      <c r="M525" s="5"/>
      <c r="N525" s="6"/>
      <c r="O525" s="5"/>
      <c r="P525" s="5"/>
      <c r="W525" s="7"/>
      <c r="X525" s="7"/>
      <c r="Y525" s="7"/>
      <c r="Z525" s="7"/>
      <c r="AA525" s="7"/>
    </row>
    <row r="526">
      <c r="B526" s="2"/>
      <c r="M526" s="5"/>
      <c r="N526" s="6"/>
      <c r="O526" s="5"/>
      <c r="P526" s="5"/>
      <c r="W526" s="7"/>
      <c r="X526" s="7"/>
      <c r="Y526" s="7"/>
      <c r="Z526" s="7"/>
      <c r="AA526" s="7"/>
    </row>
    <row r="527">
      <c r="B527" s="2"/>
      <c r="M527" s="5"/>
      <c r="N527" s="6"/>
      <c r="O527" s="5"/>
      <c r="P527" s="5"/>
      <c r="W527" s="7"/>
      <c r="X527" s="7"/>
      <c r="Y527" s="7"/>
      <c r="Z527" s="7"/>
      <c r="AA527" s="7"/>
    </row>
    <row r="528">
      <c r="B528" s="2"/>
      <c r="M528" s="5"/>
      <c r="N528" s="6"/>
      <c r="O528" s="5"/>
      <c r="P528" s="5"/>
      <c r="W528" s="7"/>
      <c r="X528" s="7"/>
      <c r="Y528" s="7"/>
      <c r="Z528" s="7"/>
      <c r="AA528" s="7"/>
    </row>
    <row r="529">
      <c r="B529" s="2"/>
      <c r="M529" s="5"/>
      <c r="N529" s="6"/>
      <c r="O529" s="5"/>
      <c r="P529" s="5"/>
      <c r="W529" s="7"/>
      <c r="X529" s="7"/>
      <c r="Y529" s="7"/>
      <c r="Z529" s="7"/>
      <c r="AA529" s="7"/>
    </row>
    <row r="530">
      <c r="B530" s="2"/>
      <c r="M530" s="5"/>
      <c r="N530" s="6"/>
      <c r="O530" s="5"/>
      <c r="P530" s="5"/>
      <c r="W530" s="7"/>
      <c r="X530" s="7"/>
      <c r="Y530" s="7"/>
      <c r="Z530" s="7"/>
      <c r="AA530" s="7"/>
    </row>
    <row r="531">
      <c r="B531" s="2"/>
      <c r="M531" s="5"/>
      <c r="N531" s="6"/>
      <c r="O531" s="5"/>
      <c r="P531" s="5"/>
      <c r="W531" s="7"/>
      <c r="X531" s="7"/>
      <c r="Y531" s="7"/>
      <c r="Z531" s="7"/>
      <c r="AA531" s="7"/>
    </row>
    <row r="532">
      <c r="B532" s="2"/>
      <c r="M532" s="5"/>
      <c r="N532" s="6"/>
      <c r="O532" s="5"/>
      <c r="P532" s="5"/>
      <c r="W532" s="7"/>
      <c r="X532" s="7"/>
      <c r="Y532" s="7"/>
      <c r="Z532" s="7"/>
      <c r="AA532" s="7"/>
    </row>
    <row r="533">
      <c r="B533" s="2"/>
      <c r="M533" s="5"/>
      <c r="N533" s="6"/>
      <c r="O533" s="5"/>
      <c r="P533" s="5"/>
      <c r="W533" s="7"/>
      <c r="X533" s="7"/>
      <c r="Y533" s="7"/>
      <c r="Z533" s="7"/>
      <c r="AA533" s="7"/>
    </row>
    <row r="534">
      <c r="B534" s="2"/>
      <c r="M534" s="5"/>
      <c r="N534" s="6"/>
      <c r="O534" s="5"/>
      <c r="P534" s="5"/>
      <c r="W534" s="7"/>
      <c r="X534" s="7"/>
      <c r="Y534" s="7"/>
      <c r="Z534" s="7"/>
      <c r="AA534" s="7"/>
    </row>
    <row r="535">
      <c r="B535" s="2"/>
      <c r="M535" s="5"/>
      <c r="N535" s="6"/>
      <c r="O535" s="5"/>
      <c r="P535" s="5"/>
      <c r="W535" s="7"/>
      <c r="X535" s="7"/>
      <c r="Y535" s="7"/>
      <c r="Z535" s="7"/>
      <c r="AA535" s="7"/>
    </row>
    <row r="536">
      <c r="B536" s="2"/>
      <c r="M536" s="5"/>
      <c r="N536" s="6"/>
      <c r="O536" s="5"/>
      <c r="P536" s="5"/>
      <c r="W536" s="7"/>
      <c r="X536" s="7"/>
      <c r="Y536" s="7"/>
      <c r="Z536" s="7"/>
      <c r="AA536" s="7"/>
    </row>
    <row r="537">
      <c r="B537" s="2"/>
      <c r="M537" s="5"/>
      <c r="N537" s="6"/>
      <c r="O537" s="5"/>
      <c r="P537" s="5"/>
      <c r="W537" s="7"/>
      <c r="X537" s="7"/>
      <c r="Y537" s="7"/>
      <c r="Z537" s="7"/>
      <c r="AA537" s="7"/>
    </row>
    <row r="538">
      <c r="B538" s="2"/>
      <c r="M538" s="5"/>
      <c r="N538" s="6"/>
      <c r="O538" s="5"/>
      <c r="P538" s="5"/>
      <c r="W538" s="7"/>
      <c r="X538" s="7"/>
      <c r="Y538" s="7"/>
      <c r="Z538" s="7"/>
      <c r="AA538" s="7"/>
    </row>
    <row r="539">
      <c r="B539" s="2"/>
      <c r="M539" s="5"/>
      <c r="N539" s="6"/>
      <c r="O539" s="5"/>
      <c r="P539" s="5"/>
      <c r="W539" s="7"/>
      <c r="X539" s="7"/>
      <c r="Y539" s="7"/>
      <c r="Z539" s="7"/>
      <c r="AA539" s="7"/>
    </row>
    <row r="540">
      <c r="B540" s="2"/>
      <c r="M540" s="5"/>
      <c r="N540" s="6"/>
      <c r="O540" s="5"/>
      <c r="P540" s="5"/>
      <c r="W540" s="7"/>
      <c r="X540" s="7"/>
      <c r="Y540" s="7"/>
      <c r="Z540" s="7"/>
      <c r="AA540" s="7"/>
    </row>
    <row r="541">
      <c r="B541" s="2"/>
      <c r="M541" s="5"/>
      <c r="N541" s="6"/>
      <c r="O541" s="5"/>
      <c r="P541" s="5"/>
      <c r="W541" s="7"/>
      <c r="X541" s="7"/>
      <c r="Y541" s="7"/>
      <c r="Z541" s="7"/>
      <c r="AA541" s="7"/>
    </row>
    <row r="542">
      <c r="B542" s="2"/>
      <c r="M542" s="5"/>
      <c r="N542" s="6"/>
      <c r="O542" s="5"/>
      <c r="P542" s="5"/>
      <c r="W542" s="7"/>
      <c r="X542" s="7"/>
      <c r="Y542" s="7"/>
      <c r="Z542" s="7"/>
      <c r="AA542" s="7"/>
    </row>
    <row r="543">
      <c r="B543" s="2"/>
      <c r="M543" s="5"/>
      <c r="N543" s="6"/>
      <c r="O543" s="5"/>
      <c r="P543" s="5"/>
      <c r="W543" s="7"/>
      <c r="X543" s="7"/>
      <c r="Y543" s="7"/>
      <c r="Z543" s="7"/>
      <c r="AA543" s="7"/>
    </row>
    <row r="544">
      <c r="B544" s="2"/>
      <c r="M544" s="5"/>
      <c r="N544" s="6"/>
      <c r="O544" s="5"/>
      <c r="P544" s="5"/>
      <c r="W544" s="7"/>
      <c r="X544" s="7"/>
      <c r="Y544" s="7"/>
      <c r="Z544" s="7"/>
      <c r="AA544" s="7"/>
    </row>
    <row r="545">
      <c r="B545" s="2"/>
      <c r="M545" s="5"/>
      <c r="N545" s="6"/>
      <c r="O545" s="5"/>
      <c r="P545" s="5"/>
      <c r="W545" s="7"/>
      <c r="X545" s="7"/>
      <c r="Y545" s="7"/>
      <c r="Z545" s="7"/>
      <c r="AA545" s="7"/>
    </row>
    <row r="546">
      <c r="B546" s="2"/>
      <c r="M546" s="5"/>
      <c r="N546" s="6"/>
      <c r="O546" s="5"/>
      <c r="P546" s="5"/>
      <c r="W546" s="7"/>
      <c r="X546" s="7"/>
      <c r="Y546" s="7"/>
      <c r="Z546" s="7"/>
      <c r="AA546" s="7"/>
    </row>
    <row r="547">
      <c r="B547" s="2"/>
      <c r="M547" s="5"/>
      <c r="N547" s="6"/>
      <c r="O547" s="5"/>
      <c r="P547" s="5"/>
      <c r="W547" s="7"/>
      <c r="X547" s="7"/>
      <c r="Y547" s="7"/>
      <c r="Z547" s="7"/>
      <c r="AA547" s="7"/>
    </row>
    <row r="548">
      <c r="B548" s="2"/>
      <c r="M548" s="5"/>
      <c r="N548" s="6"/>
      <c r="O548" s="5"/>
      <c r="P548" s="5"/>
      <c r="W548" s="7"/>
      <c r="X548" s="7"/>
      <c r="Y548" s="7"/>
      <c r="Z548" s="7"/>
      <c r="AA548" s="7"/>
    </row>
    <row r="549">
      <c r="B549" s="2"/>
      <c r="M549" s="5"/>
      <c r="N549" s="6"/>
      <c r="O549" s="5"/>
      <c r="P549" s="5"/>
      <c r="W549" s="7"/>
      <c r="X549" s="7"/>
      <c r="Y549" s="7"/>
      <c r="Z549" s="7"/>
      <c r="AA549" s="7"/>
    </row>
    <row r="550">
      <c r="B550" s="2"/>
      <c r="M550" s="5"/>
      <c r="N550" s="6"/>
      <c r="O550" s="5"/>
      <c r="P550" s="5"/>
      <c r="W550" s="7"/>
      <c r="X550" s="7"/>
      <c r="Y550" s="7"/>
      <c r="Z550" s="7"/>
      <c r="AA550" s="7"/>
    </row>
    <row r="551">
      <c r="B551" s="2"/>
      <c r="M551" s="5"/>
      <c r="N551" s="6"/>
      <c r="O551" s="5"/>
      <c r="P551" s="5"/>
      <c r="W551" s="7"/>
      <c r="X551" s="7"/>
      <c r="Y551" s="7"/>
      <c r="Z551" s="7"/>
      <c r="AA551" s="7"/>
    </row>
    <row r="552">
      <c r="B552" s="2"/>
      <c r="M552" s="5"/>
      <c r="N552" s="6"/>
      <c r="O552" s="5"/>
      <c r="P552" s="5"/>
      <c r="W552" s="7"/>
      <c r="X552" s="7"/>
      <c r="Y552" s="7"/>
      <c r="Z552" s="7"/>
      <c r="AA552" s="7"/>
    </row>
    <row r="553">
      <c r="B553" s="2"/>
      <c r="M553" s="5"/>
      <c r="N553" s="6"/>
      <c r="O553" s="5"/>
      <c r="P553" s="5"/>
      <c r="W553" s="7"/>
      <c r="X553" s="7"/>
      <c r="Y553" s="7"/>
      <c r="Z553" s="7"/>
      <c r="AA553" s="7"/>
    </row>
    <row r="554">
      <c r="B554" s="2"/>
      <c r="M554" s="5"/>
      <c r="N554" s="6"/>
      <c r="O554" s="5"/>
      <c r="P554" s="5"/>
      <c r="W554" s="7"/>
      <c r="X554" s="7"/>
      <c r="Y554" s="7"/>
      <c r="Z554" s="7"/>
      <c r="AA554" s="7"/>
    </row>
    <row r="555">
      <c r="B555" s="2"/>
      <c r="M555" s="5"/>
      <c r="N555" s="6"/>
      <c r="O555" s="5"/>
      <c r="P555" s="5"/>
      <c r="W555" s="7"/>
      <c r="X555" s="7"/>
      <c r="Y555" s="7"/>
      <c r="Z555" s="7"/>
      <c r="AA555" s="7"/>
    </row>
    <row r="556">
      <c r="B556" s="2"/>
      <c r="M556" s="5"/>
      <c r="N556" s="6"/>
      <c r="O556" s="5"/>
      <c r="P556" s="5"/>
      <c r="W556" s="7"/>
      <c r="X556" s="7"/>
      <c r="Y556" s="7"/>
      <c r="Z556" s="7"/>
      <c r="AA556" s="7"/>
    </row>
    <row r="557">
      <c r="B557" s="2"/>
      <c r="M557" s="5"/>
      <c r="N557" s="6"/>
      <c r="O557" s="5"/>
      <c r="P557" s="5"/>
      <c r="W557" s="7"/>
      <c r="X557" s="7"/>
      <c r="Y557" s="7"/>
      <c r="Z557" s="7"/>
      <c r="AA557" s="7"/>
    </row>
    <row r="558">
      <c r="B558" s="2"/>
      <c r="M558" s="5"/>
      <c r="N558" s="6"/>
      <c r="O558" s="5"/>
      <c r="P558" s="5"/>
      <c r="W558" s="7"/>
      <c r="X558" s="7"/>
      <c r="Y558" s="7"/>
      <c r="Z558" s="7"/>
      <c r="AA558" s="7"/>
    </row>
    <row r="559">
      <c r="B559" s="2"/>
      <c r="M559" s="5"/>
      <c r="N559" s="6"/>
      <c r="O559" s="5"/>
      <c r="P559" s="5"/>
      <c r="W559" s="7"/>
      <c r="X559" s="7"/>
      <c r="Y559" s="7"/>
      <c r="Z559" s="7"/>
      <c r="AA559" s="7"/>
    </row>
    <row r="560">
      <c r="B560" s="2"/>
      <c r="M560" s="5"/>
      <c r="N560" s="6"/>
      <c r="O560" s="5"/>
      <c r="P560" s="5"/>
      <c r="W560" s="7"/>
      <c r="X560" s="7"/>
      <c r="Y560" s="7"/>
      <c r="Z560" s="7"/>
      <c r="AA560" s="7"/>
    </row>
    <row r="561">
      <c r="B561" s="2"/>
      <c r="M561" s="5"/>
      <c r="N561" s="6"/>
      <c r="O561" s="5"/>
      <c r="P561" s="5"/>
      <c r="W561" s="7"/>
      <c r="X561" s="7"/>
      <c r="Y561" s="7"/>
      <c r="Z561" s="7"/>
      <c r="AA561" s="7"/>
    </row>
    <row r="562">
      <c r="B562" s="2"/>
      <c r="M562" s="5"/>
      <c r="N562" s="6"/>
      <c r="O562" s="5"/>
      <c r="P562" s="5"/>
      <c r="W562" s="7"/>
      <c r="X562" s="7"/>
      <c r="Y562" s="7"/>
      <c r="Z562" s="7"/>
      <c r="AA562" s="7"/>
    </row>
    <row r="563">
      <c r="B563" s="2"/>
      <c r="M563" s="5"/>
      <c r="N563" s="6"/>
      <c r="O563" s="5"/>
      <c r="P563" s="5"/>
      <c r="W563" s="7"/>
      <c r="X563" s="7"/>
      <c r="Y563" s="7"/>
      <c r="Z563" s="7"/>
      <c r="AA563" s="7"/>
    </row>
    <row r="564">
      <c r="B564" s="2"/>
      <c r="M564" s="5"/>
      <c r="N564" s="6"/>
      <c r="O564" s="5"/>
      <c r="P564" s="5"/>
      <c r="W564" s="7"/>
      <c r="X564" s="7"/>
      <c r="Y564" s="7"/>
      <c r="Z564" s="7"/>
      <c r="AA564" s="7"/>
    </row>
    <row r="565">
      <c r="B565" s="2"/>
      <c r="M565" s="5"/>
      <c r="N565" s="6"/>
      <c r="O565" s="5"/>
      <c r="P565" s="5"/>
      <c r="W565" s="7"/>
      <c r="X565" s="7"/>
      <c r="Y565" s="7"/>
      <c r="Z565" s="7"/>
      <c r="AA565" s="7"/>
    </row>
    <row r="566">
      <c r="B566" s="2"/>
      <c r="M566" s="5"/>
      <c r="N566" s="6"/>
      <c r="O566" s="5"/>
      <c r="P566" s="5"/>
      <c r="W566" s="7"/>
      <c r="X566" s="7"/>
      <c r="Y566" s="7"/>
      <c r="Z566" s="7"/>
      <c r="AA566" s="7"/>
    </row>
    <row r="567">
      <c r="B567" s="2"/>
      <c r="M567" s="5"/>
      <c r="N567" s="6"/>
      <c r="O567" s="5"/>
      <c r="P567" s="5"/>
      <c r="W567" s="7"/>
      <c r="X567" s="7"/>
      <c r="Y567" s="7"/>
      <c r="Z567" s="7"/>
      <c r="AA567" s="7"/>
    </row>
    <row r="568">
      <c r="B568" s="2"/>
      <c r="M568" s="5"/>
      <c r="N568" s="6"/>
      <c r="O568" s="5"/>
      <c r="P568" s="5"/>
      <c r="W568" s="7"/>
      <c r="X568" s="7"/>
      <c r="Y568" s="7"/>
      <c r="Z568" s="7"/>
      <c r="AA568" s="7"/>
    </row>
    <row r="569">
      <c r="B569" s="2"/>
      <c r="M569" s="5"/>
      <c r="N569" s="6"/>
      <c r="O569" s="5"/>
      <c r="P569" s="5"/>
      <c r="W569" s="7"/>
      <c r="X569" s="7"/>
      <c r="Y569" s="7"/>
      <c r="Z569" s="7"/>
      <c r="AA569" s="7"/>
    </row>
    <row r="570">
      <c r="B570" s="2"/>
      <c r="M570" s="5"/>
      <c r="N570" s="6"/>
      <c r="O570" s="5"/>
      <c r="P570" s="5"/>
      <c r="W570" s="7"/>
      <c r="X570" s="7"/>
      <c r="Y570" s="7"/>
      <c r="Z570" s="7"/>
      <c r="AA570" s="7"/>
    </row>
    <row r="571">
      <c r="B571" s="2"/>
      <c r="M571" s="5"/>
      <c r="N571" s="6"/>
      <c r="O571" s="5"/>
      <c r="P571" s="5"/>
      <c r="W571" s="7"/>
      <c r="X571" s="7"/>
      <c r="Y571" s="7"/>
      <c r="Z571" s="7"/>
      <c r="AA571" s="7"/>
    </row>
    <row r="572">
      <c r="B572" s="2"/>
      <c r="M572" s="5"/>
      <c r="N572" s="6"/>
      <c r="O572" s="5"/>
      <c r="P572" s="5"/>
      <c r="W572" s="7"/>
      <c r="X572" s="7"/>
      <c r="Y572" s="7"/>
      <c r="Z572" s="7"/>
      <c r="AA572" s="7"/>
    </row>
    <row r="573">
      <c r="B573" s="2"/>
      <c r="M573" s="5"/>
      <c r="N573" s="6"/>
      <c r="O573" s="5"/>
      <c r="P573" s="5"/>
      <c r="W573" s="7"/>
      <c r="X573" s="7"/>
      <c r="Y573" s="7"/>
      <c r="Z573" s="7"/>
      <c r="AA573" s="7"/>
    </row>
    <row r="574">
      <c r="B574" s="2"/>
      <c r="M574" s="5"/>
      <c r="N574" s="6"/>
      <c r="O574" s="5"/>
      <c r="P574" s="5"/>
      <c r="W574" s="7"/>
      <c r="X574" s="7"/>
      <c r="Y574" s="7"/>
      <c r="Z574" s="7"/>
      <c r="AA574" s="7"/>
    </row>
    <row r="575">
      <c r="B575" s="2"/>
      <c r="M575" s="5"/>
      <c r="N575" s="6"/>
      <c r="O575" s="5"/>
      <c r="P575" s="5"/>
      <c r="W575" s="7"/>
      <c r="X575" s="7"/>
      <c r="Y575" s="7"/>
      <c r="Z575" s="7"/>
      <c r="AA575" s="7"/>
    </row>
    <row r="576">
      <c r="B576" s="2"/>
      <c r="M576" s="5"/>
      <c r="N576" s="6"/>
      <c r="O576" s="5"/>
      <c r="P576" s="5"/>
      <c r="W576" s="7"/>
      <c r="X576" s="7"/>
      <c r="Y576" s="7"/>
      <c r="Z576" s="7"/>
      <c r="AA576" s="7"/>
    </row>
    <row r="577">
      <c r="B577" s="2"/>
      <c r="M577" s="5"/>
      <c r="N577" s="6"/>
      <c r="O577" s="5"/>
      <c r="P577" s="5"/>
      <c r="W577" s="7"/>
      <c r="X577" s="7"/>
      <c r="Y577" s="7"/>
      <c r="Z577" s="7"/>
      <c r="AA577" s="7"/>
    </row>
    <row r="578">
      <c r="B578" s="2"/>
      <c r="M578" s="5"/>
      <c r="N578" s="6"/>
      <c r="O578" s="5"/>
      <c r="P578" s="5"/>
      <c r="W578" s="7"/>
      <c r="X578" s="7"/>
      <c r="Y578" s="7"/>
      <c r="Z578" s="7"/>
      <c r="AA578" s="7"/>
    </row>
    <row r="579">
      <c r="B579" s="2"/>
      <c r="M579" s="5"/>
      <c r="N579" s="6"/>
      <c r="O579" s="5"/>
      <c r="P579" s="5"/>
      <c r="W579" s="7"/>
      <c r="X579" s="7"/>
      <c r="Y579" s="7"/>
      <c r="Z579" s="7"/>
      <c r="AA579" s="7"/>
    </row>
    <row r="580">
      <c r="B580" s="2"/>
      <c r="M580" s="5"/>
      <c r="N580" s="6"/>
      <c r="O580" s="5"/>
      <c r="P580" s="5"/>
      <c r="W580" s="7"/>
      <c r="X580" s="7"/>
      <c r="Y580" s="7"/>
      <c r="Z580" s="7"/>
      <c r="AA580" s="7"/>
    </row>
    <row r="581">
      <c r="B581" s="2"/>
      <c r="M581" s="5"/>
      <c r="N581" s="6"/>
      <c r="O581" s="5"/>
      <c r="P581" s="5"/>
      <c r="W581" s="7"/>
      <c r="X581" s="7"/>
      <c r="Y581" s="7"/>
      <c r="Z581" s="7"/>
      <c r="AA581" s="7"/>
    </row>
    <row r="582">
      <c r="B582" s="2"/>
      <c r="M582" s="5"/>
      <c r="N582" s="6"/>
      <c r="O582" s="5"/>
      <c r="P582" s="5"/>
      <c r="W582" s="7"/>
      <c r="X582" s="7"/>
      <c r="Y582" s="7"/>
      <c r="Z582" s="7"/>
      <c r="AA582" s="7"/>
    </row>
    <row r="583">
      <c r="B583" s="2"/>
      <c r="M583" s="5"/>
      <c r="N583" s="6"/>
      <c r="O583" s="5"/>
      <c r="P583" s="5"/>
      <c r="W583" s="7"/>
      <c r="X583" s="7"/>
      <c r="Y583" s="7"/>
      <c r="Z583" s="7"/>
      <c r="AA583" s="7"/>
    </row>
    <row r="584">
      <c r="B584" s="2"/>
      <c r="M584" s="5"/>
      <c r="N584" s="6"/>
      <c r="O584" s="5"/>
      <c r="P584" s="5"/>
      <c r="W584" s="7"/>
      <c r="X584" s="7"/>
      <c r="Y584" s="7"/>
      <c r="Z584" s="7"/>
      <c r="AA584" s="7"/>
    </row>
    <row r="585">
      <c r="B585" s="2"/>
      <c r="M585" s="5"/>
      <c r="N585" s="6"/>
      <c r="O585" s="5"/>
      <c r="P585" s="5"/>
      <c r="W585" s="7"/>
      <c r="X585" s="7"/>
      <c r="Y585" s="7"/>
      <c r="Z585" s="7"/>
      <c r="AA585" s="7"/>
    </row>
    <row r="586">
      <c r="B586" s="2"/>
      <c r="M586" s="5"/>
      <c r="N586" s="6"/>
      <c r="O586" s="5"/>
      <c r="P586" s="5"/>
      <c r="W586" s="7"/>
      <c r="X586" s="7"/>
      <c r="Y586" s="7"/>
      <c r="Z586" s="7"/>
      <c r="AA586" s="7"/>
    </row>
    <row r="587">
      <c r="B587" s="2"/>
      <c r="M587" s="5"/>
      <c r="N587" s="6"/>
      <c r="O587" s="5"/>
      <c r="P587" s="5"/>
      <c r="W587" s="7"/>
      <c r="X587" s="7"/>
      <c r="Y587" s="7"/>
      <c r="Z587" s="7"/>
      <c r="AA587" s="7"/>
    </row>
    <row r="588">
      <c r="B588" s="2"/>
      <c r="M588" s="5"/>
      <c r="N588" s="6"/>
      <c r="O588" s="5"/>
      <c r="P588" s="5"/>
      <c r="W588" s="7"/>
      <c r="X588" s="7"/>
      <c r="Y588" s="7"/>
      <c r="Z588" s="7"/>
      <c r="AA588" s="7"/>
    </row>
    <row r="589">
      <c r="B589" s="2"/>
      <c r="M589" s="5"/>
      <c r="N589" s="6"/>
      <c r="O589" s="5"/>
      <c r="P589" s="5"/>
      <c r="W589" s="7"/>
      <c r="X589" s="7"/>
      <c r="Y589" s="7"/>
      <c r="Z589" s="7"/>
      <c r="AA589" s="7"/>
    </row>
    <row r="590">
      <c r="B590" s="2"/>
      <c r="M590" s="5"/>
      <c r="N590" s="6"/>
      <c r="O590" s="5"/>
      <c r="P590" s="5"/>
      <c r="W590" s="7"/>
      <c r="X590" s="7"/>
      <c r="Y590" s="7"/>
      <c r="Z590" s="7"/>
      <c r="AA590" s="7"/>
    </row>
    <row r="591">
      <c r="B591" s="2"/>
      <c r="M591" s="5"/>
      <c r="N591" s="6"/>
      <c r="O591" s="5"/>
      <c r="P591" s="5"/>
      <c r="W591" s="7"/>
      <c r="X591" s="7"/>
      <c r="Y591" s="7"/>
      <c r="Z591" s="7"/>
      <c r="AA591" s="7"/>
    </row>
    <row r="592">
      <c r="B592" s="2"/>
      <c r="M592" s="5"/>
      <c r="N592" s="6"/>
      <c r="O592" s="5"/>
      <c r="P592" s="5"/>
      <c r="W592" s="7"/>
      <c r="X592" s="7"/>
      <c r="Y592" s="7"/>
      <c r="Z592" s="7"/>
      <c r="AA592" s="7"/>
    </row>
    <row r="593">
      <c r="B593" s="2"/>
      <c r="M593" s="5"/>
      <c r="N593" s="6"/>
      <c r="O593" s="5"/>
      <c r="P593" s="5"/>
      <c r="W593" s="7"/>
      <c r="X593" s="7"/>
      <c r="Y593" s="7"/>
      <c r="Z593" s="7"/>
      <c r="AA593" s="7"/>
    </row>
    <row r="594">
      <c r="B594" s="2"/>
      <c r="M594" s="5"/>
      <c r="N594" s="6"/>
      <c r="O594" s="5"/>
      <c r="P594" s="5"/>
      <c r="W594" s="7"/>
      <c r="X594" s="7"/>
      <c r="Y594" s="7"/>
      <c r="Z594" s="7"/>
      <c r="AA594" s="7"/>
    </row>
    <row r="595">
      <c r="B595" s="2"/>
      <c r="M595" s="5"/>
      <c r="N595" s="6"/>
      <c r="O595" s="5"/>
      <c r="P595" s="5"/>
      <c r="W595" s="7"/>
      <c r="X595" s="7"/>
      <c r="Y595" s="7"/>
      <c r="Z595" s="7"/>
      <c r="AA595" s="7"/>
    </row>
    <row r="596">
      <c r="B596" s="2"/>
      <c r="M596" s="5"/>
      <c r="N596" s="6"/>
      <c r="O596" s="5"/>
      <c r="P596" s="5"/>
      <c r="W596" s="7"/>
      <c r="X596" s="7"/>
      <c r="Y596" s="7"/>
      <c r="Z596" s="7"/>
      <c r="AA596" s="7"/>
    </row>
    <row r="597">
      <c r="B597" s="2"/>
      <c r="M597" s="5"/>
      <c r="N597" s="6"/>
      <c r="O597" s="5"/>
      <c r="P597" s="5"/>
      <c r="W597" s="7"/>
      <c r="X597" s="7"/>
      <c r="Y597" s="7"/>
      <c r="Z597" s="7"/>
      <c r="AA597" s="7"/>
    </row>
    <row r="598">
      <c r="B598" s="2"/>
      <c r="M598" s="5"/>
      <c r="N598" s="6"/>
      <c r="O598" s="5"/>
      <c r="P598" s="5"/>
      <c r="W598" s="7"/>
      <c r="X598" s="7"/>
      <c r="Y598" s="7"/>
      <c r="Z598" s="7"/>
      <c r="AA598" s="7"/>
    </row>
    <row r="599">
      <c r="B599" s="2"/>
      <c r="M599" s="5"/>
      <c r="N599" s="6"/>
      <c r="O599" s="5"/>
      <c r="P599" s="5"/>
      <c r="W599" s="7"/>
      <c r="X599" s="7"/>
      <c r="Y599" s="7"/>
      <c r="Z599" s="7"/>
      <c r="AA599" s="7"/>
    </row>
    <row r="600">
      <c r="B600" s="2"/>
      <c r="M600" s="5"/>
      <c r="N600" s="6"/>
      <c r="O600" s="5"/>
      <c r="P600" s="5"/>
      <c r="W600" s="7"/>
      <c r="X600" s="7"/>
      <c r="Y600" s="7"/>
      <c r="Z600" s="7"/>
      <c r="AA600" s="7"/>
    </row>
    <row r="601">
      <c r="B601" s="2"/>
      <c r="M601" s="5"/>
      <c r="N601" s="6"/>
      <c r="O601" s="5"/>
      <c r="P601" s="5"/>
      <c r="W601" s="7"/>
      <c r="X601" s="7"/>
      <c r="Y601" s="7"/>
      <c r="Z601" s="7"/>
      <c r="AA601" s="7"/>
    </row>
    <row r="602">
      <c r="B602" s="2"/>
      <c r="M602" s="5"/>
      <c r="N602" s="6"/>
      <c r="O602" s="5"/>
      <c r="P602" s="5"/>
      <c r="W602" s="7"/>
      <c r="X602" s="7"/>
      <c r="Y602" s="7"/>
      <c r="Z602" s="7"/>
      <c r="AA602" s="7"/>
    </row>
    <row r="603">
      <c r="B603" s="2"/>
      <c r="M603" s="5"/>
      <c r="N603" s="6"/>
      <c r="O603" s="5"/>
      <c r="P603" s="5"/>
      <c r="W603" s="7"/>
      <c r="X603" s="7"/>
      <c r="Y603" s="7"/>
      <c r="Z603" s="7"/>
      <c r="AA603" s="7"/>
    </row>
    <row r="604">
      <c r="B604" s="2"/>
      <c r="M604" s="5"/>
      <c r="N604" s="6"/>
      <c r="O604" s="5"/>
      <c r="P604" s="5"/>
      <c r="W604" s="7"/>
      <c r="X604" s="7"/>
      <c r="Y604" s="7"/>
      <c r="Z604" s="7"/>
      <c r="AA604" s="7"/>
    </row>
    <row r="605">
      <c r="B605" s="2"/>
      <c r="M605" s="5"/>
      <c r="N605" s="6"/>
      <c r="O605" s="5"/>
      <c r="P605" s="5"/>
      <c r="W605" s="7"/>
      <c r="X605" s="7"/>
      <c r="Y605" s="7"/>
      <c r="Z605" s="7"/>
      <c r="AA605" s="7"/>
    </row>
    <row r="606">
      <c r="B606" s="2"/>
      <c r="M606" s="5"/>
      <c r="N606" s="6"/>
      <c r="O606" s="5"/>
      <c r="P606" s="5"/>
      <c r="W606" s="7"/>
      <c r="X606" s="7"/>
      <c r="Y606" s="7"/>
      <c r="Z606" s="7"/>
      <c r="AA606" s="7"/>
    </row>
    <row r="607">
      <c r="B607" s="2"/>
      <c r="M607" s="5"/>
      <c r="N607" s="6"/>
      <c r="O607" s="5"/>
      <c r="P607" s="5"/>
      <c r="W607" s="7"/>
      <c r="X607" s="7"/>
      <c r="Y607" s="7"/>
      <c r="Z607" s="7"/>
      <c r="AA607" s="7"/>
    </row>
    <row r="608">
      <c r="B608" s="2"/>
      <c r="M608" s="5"/>
      <c r="N608" s="6"/>
      <c r="O608" s="5"/>
      <c r="P608" s="5"/>
      <c r="W608" s="7"/>
      <c r="X608" s="7"/>
      <c r="Y608" s="7"/>
      <c r="Z608" s="7"/>
      <c r="AA608" s="7"/>
    </row>
    <row r="609">
      <c r="B609" s="2"/>
      <c r="M609" s="5"/>
      <c r="N609" s="6"/>
      <c r="O609" s="5"/>
      <c r="P609" s="5"/>
      <c r="W609" s="7"/>
      <c r="X609" s="7"/>
      <c r="Y609" s="7"/>
      <c r="Z609" s="7"/>
      <c r="AA609" s="7"/>
    </row>
    <row r="610">
      <c r="B610" s="2"/>
      <c r="M610" s="5"/>
      <c r="N610" s="6"/>
      <c r="O610" s="5"/>
      <c r="P610" s="5"/>
      <c r="W610" s="7"/>
      <c r="X610" s="7"/>
      <c r="Y610" s="7"/>
      <c r="Z610" s="7"/>
      <c r="AA610" s="7"/>
    </row>
    <row r="611">
      <c r="B611" s="2"/>
      <c r="M611" s="5"/>
      <c r="N611" s="6"/>
      <c r="O611" s="5"/>
      <c r="P611" s="5"/>
      <c r="W611" s="7"/>
      <c r="X611" s="7"/>
      <c r="Y611" s="7"/>
      <c r="Z611" s="7"/>
      <c r="AA611" s="7"/>
    </row>
    <row r="612">
      <c r="B612" s="2"/>
      <c r="M612" s="5"/>
      <c r="N612" s="6"/>
      <c r="O612" s="5"/>
      <c r="P612" s="5"/>
      <c r="W612" s="7"/>
      <c r="X612" s="7"/>
      <c r="Y612" s="7"/>
      <c r="Z612" s="7"/>
      <c r="AA612" s="7"/>
    </row>
    <row r="613">
      <c r="B613" s="2"/>
      <c r="M613" s="5"/>
      <c r="N613" s="6"/>
      <c r="O613" s="5"/>
      <c r="P613" s="5"/>
      <c r="W613" s="7"/>
      <c r="X613" s="7"/>
      <c r="Y613" s="7"/>
      <c r="Z613" s="7"/>
      <c r="AA613" s="7"/>
    </row>
    <row r="614">
      <c r="B614" s="2"/>
      <c r="M614" s="5"/>
      <c r="N614" s="6"/>
      <c r="O614" s="5"/>
      <c r="P614" s="5"/>
      <c r="W614" s="7"/>
      <c r="X614" s="7"/>
      <c r="Y614" s="7"/>
      <c r="Z614" s="7"/>
      <c r="AA614" s="7"/>
    </row>
    <row r="615">
      <c r="B615" s="2"/>
      <c r="M615" s="5"/>
      <c r="N615" s="6"/>
      <c r="O615" s="5"/>
      <c r="P615" s="5"/>
      <c r="W615" s="7"/>
      <c r="X615" s="7"/>
      <c r="Y615" s="7"/>
      <c r="Z615" s="7"/>
      <c r="AA615" s="7"/>
    </row>
    <row r="616">
      <c r="B616" s="2"/>
      <c r="M616" s="5"/>
      <c r="N616" s="6"/>
      <c r="O616" s="5"/>
      <c r="P616" s="5"/>
      <c r="W616" s="7"/>
      <c r="X616" s="7"/>
      <c r="Y616" s="7"/>
      <c r="Z616" s="7"/>
      <c r="AA616" s="7"/>
    </row>
    <row r="617">
      <c r="B617" s="2"/>
      <c r="M617" s="5"/>
      <c r="N617" s="6"/>
      <c r="O617" s="5"/>
      <c r="P617" s="5"/>
      <c r="W617" s="7"/>
      <c r="X617" s="7"/>
      <c r="Y617" s="7"/>
      <c r="Z617" s="7"/>
      <c r="AA617" s="7"/>
    </row>
    <row r="618">
      <c r="B618" s="2"/>
      <c r="M618" s="5"/>
      <c r="N618" s="6"/>
      <c r="O618" s="5"/>
      <c r="P618" s="5"/>
      <c r="W618" s="7"/>
      <c r="X618" s="7"/>
      <c r="Y618" s="7"/>
      <c r="Z618" s="7"/>
      <c r="AA618" s="7"/>
    </row>
    <row r="619">
      <c r="B619" s="2"/>
      <c r="M619" s="5"/>
      <c r="N619" s="6"/>
      <c r="O619" s="5"/>
      <c r="P619" s="5"/>
      <c r="W619" s="7"/>
      <c r="X619" s="7"/>
      <c r="Y619" s="7"/>
      <c r="Z619" s="7"/>
      <c r="AA619" s="7"/>
    </row>
    <row r="620">
      <c r="B620" s="2"/>
      <c r="M620" s="5"/>
      <c r="N620" s="6"/>
      <c r="O620" s="5"/>
      <c r="P620" s="5"/>
      <c r="W620" s="7"/>
      <c r="X620" s="7"/>
      <c r="Y620" s="7"/>
      <c r="Z620" s="7"/>
      <c r="AA620" s="7"/>
    </row>
    <row r="621">
      <c r="B621" s="2"/>
      <c r="M621" s="5"/>
      <c r="N621" s="6"/>
      <c r="O621" s="5"/>
      <c r="P621" s="5"/>
      <c r="W621" s="7"/>
      <c r="X621" s="7"/>
      <c r="Y621" s="7"/>
      <c r="Z621" s="7"/>
      <c r="AA621" s="7"/>
    </row>
    <row r="622">
      <c r="B622" s="2"/>
      <c r="M622" s="5"/>
      <c r="N622" s="6"/>
      <c r="O622" s="5"/>
      <c r="P622" s="5"/>
      <c r="W622" s="7"/>
      <c r="X622" s="7"/>
      <c r="Y622" s="7"/>
      <c r="Z622" s="7"/>
      <c r="AA622" s="7"/>
    </row>
    <row r="623">
      <c r="B623" s="2"/>
      <c r="M623" s="5"/>
      <c r="N623" s="6"/>
      <c r="O623" s="5"/>
      <c r="P623" s="5"/>
      <c r="W623" s="7"/>
      <c r="X623" s="7"/>
      <c r="Y623" s="7"/>
      <c r="Z623" s="7"/>
      <c r="AA623" s="7"/>
    </row>
    <row r="624">
      <c r="B624" s="2"/>
      <c r="M624" s="5"/>
      <c r="N624" s="6"/>
      <c r="O624" s="5"/>
      <c r="P624" s="5"/>
      <c r="W624" s="7"/>
      <c r="X624" s="7"/>
      <c r="Y624" s="7"/>
      <c r="Z624" s="7"/>
      <c r="AA624" s="7"/>
    </row>
    <row r="625">
      <c r="B625" s="2"/>
      <c r="M625" s="5"/>
      <c r="N625" s="6"/>
      <c r="O625" s="5"/>
      <c r="P625" s="5"/>
      <c r="W625" s="7"/>
      <c r="X625" s="7"/>
      <c r="Y625" s="7"/>
      <c r="Z625" s="7"/>
      <c r="AA625" s="7"/>
    </row>
    <row r="626">
      <c r="B626" s="2"/>
      <c r="M626" s="5"/>
      <c r="N626" s="6"/>
      <c r="O626" s="5"/>
      <c r="P626" s="5"/>
      <c r="W626" s="7"/>
      <c r="X626" s="7"/>
      <c r="Y626" s="7"/>
      <c r="Z626" s="7"/>
      <c r="AA626" s="7"/>
    </row>
    <row r="627">
      <c r="B627" s="2"/>
      <c r="M627" s="5"/>
      <c r="N627" s="6"/>
      <c r="O627" s="5"/>
      <c r="P627" s="5"/>
      <c r="W627" s="7"/>
      <c r="X627" s="7"/>
      <c r="Y627" s="7"/>
      <c r="Z627" s="7"/>
      <c r="AA627" s="7"/>
    </row>
    <row r="628">
      <c r="B628" s="2"/>
      <c r="M628" s="5"/>
      <c r="N628" s="6"/>
      <c r="O628" s="5"/>
      <c r="P628" s="5"/>
      <c r="W628" s="7"/>
      <c r="X628" s="7"/>
      <c r="Y628" s="7"/>
      <c r="Z628" s="7"/>
      <c r="AA628" s="7"/>
    </row>
    <row r="629">
      <c r="B629" s="2"/>
      <c r="M629" s="5"/>
      <c r="N629" s="6"/>
      <c r="O629" s="5"/>
      <c r="P629" s="5"/>
      <c r="W629" s="7"/>
      <c r="X629" s="7"/>
      <c r="Y629" s="7"/>
      <c r="Z629" s="7"/>
      <c r="AA629" s="7"/>
    </row>
    <row r="630">
      <c r="B630" s="2"/>
      <c r="M630" s="5"/>
      <c r="N630" s="6"/>
      <c r="O630" s="5"/>
      <c r="P630" s="5"/>
      <c r="W630" s="7"/>
      <c r="X630" s="7"/>
      <c r="Y630" s="7"/>
      <c r="Z630" s="7"/>
      <c r="AA630" s="7"/>
    </row>
    <row r="631">
      <c r="B631" s="2"/>
      <c r="M631" s="5"/>
      <c r="N631" s="6"/>
      <c r="O631" s="5"/>
      <c r="P631" s="5"/>
      <c r="W631" s="7"/>
      <c r="X631" s="7"/>
      <c r="Y631" s="7"/>
      <c r="Z631" s="7"/>
      <c r="AA631" s="7"/>
    </row>
    <row r="632">
      <c r="B632" s="2"/>
      <c r="M632" s="5"/>
      <c r="N632" s="6"/>
      <c r="O632" s="5"/>
      <c r="P632" s="5"/>
      <c r="W632" s="7"/>
      <c r="X632" s="7"/>
      <c r="Y632" s="7"/>
      <c r="Z632" s="7"/>
      <c r="AA632" s="7"/>
    </row>
    <row r="633">
      <c r="B633" s="2"/>
      <c r="M633" s="5"/>
      <c r="N633" s="6"/>
      <c r="O633" s="5"/>
      <c r="P633" s="5"/>
      <c r="W633" s="7"/>
      <c r="X633" s="7"/>
      <c r="Y633" s="7"/>
      <c r="Z633" s="7"/>
      <c r="AA633" s="7"/>
    </row>
    <row r="634">
      <c r="B634" s="2"/>
      <c r="M634" s="5"/>
      <c r="N634" s="6"/>
      <c r="O634" s="5"/>
      <c r="P634" s="5"/>
      <c r="W634" s="7"/>
      <c r="X634" s="7"/>
      <c r="Y634" s="7"/>
      <c r="Z634" s="7"/>
      <c r="AA634" s="7"/>
    </row>
    <row r="635">
      <c r="B635" s="2"/>
      <c r="M635" s="5"/>
      <c r="N635" s="6"/>
      <c r="O635" s="5"/>
      <c r="P635" s="5"/>
      <c r="W635" s="7"/>
      <c r="X635" s="7"/>
      <c r="Y635" s="7"/>
      <c r="Z635" s="7"/>
      <c r="AA635" s="7"/>
    </row>
    <row r="636">
      <c r="B636" s="2"/>
      <c r="M636" s="5"/>
      <c r="N636" s="6"/>
      <c r="O636" s="5"/>
      <c r="P636" s="5"/>
      <c r="W636" s="7"/>
      <c r="X636" s="7"/>
      <c r="Y636" s="7"/>
      <c r="Z636" s="7"/>
      <c r="AA636" s="7"/>
    </row>
    <row r="637">
      <c r="B637" s="2"/>
      <c r="M637" s="5"/>
      <c r="N637" s="6"/>
      <c r="O637" s="5"/>
      <c r="P637" s="5"/>
      <c r="W637" s="7"/>
      <c r="X637" s="7"/>
      <c r="Y637" s="7"/>
      <c r="Z637" s="7"/>
      <c r="AA637" s="7"/>
    </row>
    <row r="638">
      <c r="B638" s="2"/>
      <c r="M638" s="5"/>
      <c r="N638" s="6"/>
      <c r="O638" s="5"/>
      <c r="P638" s="5"/>
      <c r="W638" s="7"/>
      <c r="X638" s="7"/>
      <c r="Y638" s="7"/>
      <c r="Z638" s="7"/>
      <c r="AA638" s="7"/>
    </row>
    <row r="639">
      <c r="B639" s="2"/>
      <c r="M639" s="5"/>
      <c r="N639" s="6"/>
      <c r="O639" s="5"/>
      <c r="P639" s="5"/>
      <c r="W639" s="7"/>
      <c r="X639" s="7"/>
      <c r="Y639" s="7"/>
      <c r="Z639" s="7"/>
      <c r="AA639" s="7"/>
    </row>
    <row r="640">
      <c r="B640" s="2"/>
      <c r="M640" s="5"/>
      <c r="N640" s="6"/>
      <c r="O640" s="5"/>
      <c r="P640" s="5"/>
      <c r="W640" s="7"/>
      <c r="X640" s="7"/>
      <c r="Y640" s="7"/>
      <c r="Z640" s="7"/>
      <c r="AA640" s="7"/>
    </row>
    <row r="641">
      <c r="B641" s="2"/>
      <c r="M641" s="5"/>
      <c r="N641" s="6"/>
      <c r="O641" s="5"/>
      <c r="P641" s="5"/>
      <c r="W641" s="7"/>
      <c r="X641" s="7"/>
      <c r="Y641" s="7"/>
      <c r="Z641" s="7"/>
      <c r="AA641" s="7"/>
    </row>
    <row r="642">
      <c r="B642" s="2"/>
      <c r="M642" s="5"/>
      <c r="N642" s="6"/>
      <c r="O642" s="5"/>
      <c r="P642" s="5"/>
      <c r="W642" s="7"/>
      <c r="X642" s="7"/>
      <c r="Y642" s="7"/>
      <c r="Z642" s="7"/>
      <c r="AA642" s="7"/>
    </row>
    <row r="643">
      <c r="B643" s="2"/>
      <c r="M643" s="5"/>
      <c r="N643" s="6"/>
      <c r="O643" s="5"/>
      <c r="P643" s="5"/>
      <c r="W643" s="7"/>
      <c r="X643" s="7"/>
      <c r="Y643" s="7"/>
      <c r="Z643" s="7"/>
      <c r="AA643" s="7"/>
    </row>
    <row r="644">
      <c r="B644" s="2"/>
      <c r="M644" s="5"/>
      <c r="N644" s="6"/>
      <c r="O644" s="5"/>
      <c r="P644" s="5"/>
      <c r="W644" s="7"/>
      <c r="X644" s="7"/>
      <c r="Y644" s="7"/>
      <c r="Z644" s="7"/>
      <c r="AA644" s="7"/>
    </row>
    <row r="645">
      <c r="B645" s="2"/>
      <c r="M645" s="5"/>
      <c r="N645" s="6"/>
      <c r="O645" s="5"/>
      <c r="P645" s="5"/>
      <c r="W645" s="7"/>
      <c r="X645" s="7"/>
      <c r="Y645" s="7"/>
      <c r="Z645" s="7"/>
      <c r="AA645" s="7"/>
    </row>
    <row r="646">
      <c r="B646" s="2"/>
      <c r="M646" s="5"/>
      <c r="N646" s="6"/>
      <c r="O646" s="5"/>
      <c r="P646" s="5"/>
      <c r="W646" s="7"/>
      <c r="X646" s="7"/>
      <c r="Y646" s="7"/>
      <c r="Z646" s="7"/>
      <c r="AA646" s="7"/>
    </row>
    <row r="647">
      <c r="B647" s="2"/>
      <c r="M647" s="5"/>
      <c r="N647" s="6"/>
      <c r="O647" s="5"/>
      <c r="P647" s="5"/>
      <c r="W647" s="7"/>
      <c r="X647" s="7"/>
      <c r="Y647" s="7"/>
      <c r="Z647" s="7"/>
      <c r="AA647" s="7"/>
    </row>
    <row r="648">
      <c r="B648" s="2"/>
      <c r="M648" s="5"/>
      <c r="N648" s="6"/>
      <c r="O648" s="5"/>
      <c r="P648" s="5"/>
      <c r="W648" s="7"/>
      <c r="X648" s="7"/>
      <c r="Y648" s="7"/>
      <c r="Z648" s="7"/>
      <c r="AA648" s="7"/>
    </row>
    <row r="649">
      <c r="B649" s="2"/>
      <c r="M649" s="5"/>
      <c r="N649" s="6"/>
      <c r="O649" s="5"/>
      <c r="P649" s="5"/>
      <c r="W649" s="7"/>
      <c r="X649" s="7"/>
      <c r="Y649" s="7"/>
      <c r="Z649" s="7"/>
      <c r="AA649" s="7"/>
    </row>
    <row r="650">
      <c r="B650" s="2"/>
      <c r="M650" s="5"/>
      <c r="N650" s="6"/>
      <c r="O650" s="5"/>
      <c r="P650" s="5"/>
      <c r="W650" s="7"/>
      <c r="X650" s="7"/>
      <c r="Y650" s="7"/>
      <c r="Z650" s="7"/>
      <c r="AA650" s="7"/>
    </row>
    <row r="651">
      <c r="B651" s="2"/>
      <c r="M651" s="5"/>
      <c r="N651" s="6"/>
      <c r="O651" s="5"/>
      <c r="P651" s="5"/>
      <c r="W651" s="7"/>
      <c r="X651" s="7"/>
      <c r="Y651" s="7"/>
      <c r="Z651" s="7"/>
      <c r="AA651" s="7"/>
    </row>
    <row r="652">
      <c r="B652" s="2"/>
      <c r="M652" s="5"/>
      <c r="N652" s="6"/>
      <c r="O652" s="5"/>
      <c r="P652" s="5"/>
      <c r="W652" s="7"/>
      <c r="X652" s="7"/>
      <c r="Y652" s="7"/>
      <c r="Z652" s="7"/>
      <c r="AA652" s="7"/>
    </row>
    <row r="653">
      <c r="B653" s="2"/>
      <c r="M653" s="5"/>
      <c r="N653" s="6"/>
      <c r="O653" s="5"/>
      <c r="P653" s="5"/>
      <c r="W653" s="7"/>
      <c r="X653" s="7"/>
      <c r="Y653" s="7"/>
      <c r="Z653" s="7"/>
      <c r="AA653" s="7"/>
    </row>
    <row r="654">
      <c r="B654" s="2"/>
      <c r="M654" s="5"/>
      <c r="N654" s="6"/>
      <c r="O654" s="5"/>
      <c r="P654" s="5"/>
      <c r="W654" s="7"/>
      <c r="X654" s="7"/>
      <c r="Y654" s="7"/>
      <c r="Z654" s="7"/>
      <c r="AA654" s="7"/>
    </row>
    <row r="655">
      <c r="B655" s="2"/>
      <c r="M655" s="5"/>
      <c r="N655" s="6"/>
      <c r="O655" s="5"/>
      <c r="P655" s="5"/>
      <c r="W655" s="7"/>
      <c r="X655" s="7"/>
      <c r="Y655" s="7"/>
      <c r="Z655" s="7"/>
      <c r="AA655" s="7"/>
    </row>
    <row r="656">
      <c r="B656" s="2"/>
      <c r="M656" s="5"/>
      <c r="N656" s="6"/>
      <c r="O656" s="5"/>
      <c r="P656" s="5"/>
      <c r="W656" s="7"/>
      <c r="X656" s="7"/>
      <c r="Y656" s="7"/>
      <c r="Z656" s="7"/>
      <c r="AA656" s="7"/>
    </row>
    <row r="657">
      <c r="B657" s="2"/>
      <c r="M657" s="5"/>
      <c r="N657" s="6"/>
      <c r="O657" s="5"/>
      <c r="P657" s="5"/>
      <c r="W657" s="7"/>
      <c r="X657" s="7"/>
      <c r="Y657" s="7"/>
      <c r="Z657" s="7"/>
      <c r="AA657" s="7"/>
    </row>
    <row r="658">
      <c r="B658" s="2"/>
      <c r="M658" s="5"/>
      <c r="N658" s="6"/>
      <c r="O658" s="5"/>
      <c r="P658" s="5"/>
      <c r="W658" s="7"/>
      <c r="X658" s="7"/>
      <c r="Y658" s="7"/>
      <c r="Z658" s="7"/>
      <c r="AA658" s="7"/>
    </row>
    <row r="659">
      <c r="B659" s="2"/>
      <c r="M659" s="5"/>
      <c r="N659" s="6"/>
      <c r="O659" s="5"/>
      <c r="P659" s="5"/>
      <c r="W659" s="7"/>
      <c r="X659" s="7"/>
      <c r="Y659" s="7"/>
      <c r="Z659" s="7"/>
      <c r="AA659" s="7"/>
    </row>
    <row r="660">
      <c r="B660" s="2"/>
      <c r="M660" s="5"/>
      <c r="N660" s="6"/>
      <c r="O660" s="5"/>
      <c r="P660" s="5"/>
      <c r="W660" s="7"/>
      <c r="X660" s="7"/>
      <c r="Y660" s="7"/>
      <c r="Z660" s="7"/>
      <c r="AA660" s="7"/>
    </row>
    <row r="661">
      <c r="B661" s="2"/>
      <c r="M661" s="5"/>
      <c r="N661" s="6"/>
      <c r="O661" s="5"/>
      <c r="P661" s="5"/>
      <c r="W661" s="7"/>
      <c r="X661" s="7"/>
      <c r="Y661" s="7"/>
      <c r="Z661" s="7"/>
      <c r="AA661" s="7"/>
    </row>
    <row r="662">
      <c r="B662" s="2"/>
      <c r="M662" s="5"/>
      <c r="N662" s="6"/>
      <c r="O662" s="5"/>
      <c r="P662" s="5"/>
      <c r="W662" s="7"/>
      <c r="X662" s="7"/>
      <c r="Y662" s="7"/>
      <c r="Z662" s="7"/>
      <c r="AA662" s="7"/>
    </row>
    <row r="663">
      <c r="B663" s="2"/>
      <c r="M663" s="5"/>
      <c r="N663" s="6"/>
      <c r="O663" s="5"/>
      <c r="P663" s="5"/>
      <c r="W663" s="7"/>
      <c r="X663" s="7"/>
      <c r="Y663" s="7"/>
      <c r="Z663" s="7"/>
      <c r="AA663" s="7"/>
    </row>
    <row r="664">
      <c r="B664" s="2"/>
      <c r="M664" s="5"/>
      <c r="N664" s="6"/>
      <c r="O664" s="5"/>
      <c r="P664" s="5"/>
      <c r="W664" s="7"/>
      <c r="X664" s="7"/>
      <c r="Y664" s="7"/>
      <c r="Z664" s="7"/>
      <c r="AA664" s="7"/>
    </row>
    <row r="665">
      <c r="B665" s="2"/>
      <c r="M665" s="5"/>
      <c r="N665" s="6"/>
      <c r="O665" s="5"/>
      <c r="P665" s="5"/>
      <c r="W665" s="7"/>
      <c r="X665" s="7"/>
      <c r="Y665" s="7"/>
      <c r="Z665" s="7"/>
      <c r="AA665" s="7"/>
    </row>
    <row r="666">
      <c r="B666" s="2"/>
      <c r="M666" s="5"/>
      <c r="N666" s="6"/>
      <c r="O666" s="5"/>
      <c r="P666" s="5"/>
      <c r="W666" s="7"/>
      <c r="X666" s="7"/>
      <c r="Y666" s="7"/>
      <c r="Z666" s="7"/>
      <c r="AA666" s="7"/>
    </row>
    <row r="667">
      <c r="B667" s="2"/>
      <c r="M667" s="5"/>
      <c r="N667" s="6"/>
      <c r="O667" s="5"/>
      <c r="P667" s="5"/>
      <c r="W667" s="7"/>
      <c r="X667" s="7"/>
      <c r="Y667" s="7"/>
      <c r="Z667" s="7"/>
      <c r="AA667" s="7"/>
    </row>
    <row r="668">
      <c r="B668" s="2"/>
      <c r="M668" s="5"/>
      <c r="N668" s="6"/>
      <c r="O668" s="5"/>
      <c r="P668" s="5"/>
      <c r="W668" s="7"/>
      <c r="X668" s="7"/>
      <c r="Y668" s="7"/>
      <c r="Z668" s="7"/>
      <c r="AA668" s="7"/>
    </row>
    <row r="669">
      <c r="B669" s="2"/>
      <c r="M669" s="5"/>
      <c r="N669" s="6"/>
      <c r="O669" s="5"/>
      <c r="P669" s="5"/>
      <c r="W669" s="7"/>
      <c r="X669" s="7"/>
      <c r="Y669" s="7"/>
      <c r="Z669" s="7"/>
      <c r="AA669" s="7"/>
    </row>
    <row r="670">
      <c r="B670" s="2"/>
      <c r="M670" s="5"/>
      <c r="N670" s="6"/>
      <c r="O670" s="5"/>
      <c r="P670" s="5"/>
      <c r="W670" s="7"/>
      <c r="X670" s="7"/>
      <c r="Y670" s="7"/>
      <c r="Z670" s="7"/>
      <c r="AA670" s="7"/>
    </row>
    <row r="671">
      <c r="B671" s="2"/>
      <c r="M671" s="5"/>
      <c r="N671" s="6"/>
      <c r="O671" s="5"/>
      <c r="P671" s="5"/>
      <c r="W671" s="7"/>
      <c r="X671" s="7"/>
      <c r="Y671" s="7"/>
      <c r="Z671" s="7"/>
      <c r="AA671" s="7"/>
    </row>
    <row r="672">
      <c r="B672" s="2"/>
      <c r="M672" s="5"/>
      <c r="N672" s="6"/>
      <c r="O672" s="5"/>
      <c r="P672" s="5"/>
      <c r="W672" s="7"/>
      <c r="X672" s="7"/>
      <c r="Y672" s="7"/>
      <c r="Z672" s="7"/>
      <c r="AA672" s="7"/>
    </row>
    <row r="673">
      <c r="B673" s="2"/>
      <c r="M673" s="5"/>
      <c r="N673" s="6"/>
      <c r="O673" s="5"/>
      <c r="P673" s="5"/>
      <c r="W673" s="7"/>
      <c r="X673" s="7"/>
      <c r="Y673" s="7"/>
      <c r="Z673" s="7"/>
      <c r="AA673" s="7"/>
    </row>
    <row r="674">
      <c r="B674" s="2"/>
      <c r="M674" s="5"/>
      <c r="N674" s="6"/>
      <c r="O674" s="5"/>
      <c r="P674" s="5"/>
      <c r="W674" s="7"/>
      <c r="X674" s="7"/>
      <c r="Y674" s="7"/>
      <c r="Z674" s="7"/>
      <c r="AA674" s="7"/>
    </row>
    <row r="675">
      <c r="B675" s="2"/>
      <c r="M675" s="5"/>
      <c r="N675" s="6"/>
      <c r="O675" s="5"/>
      <c r="P675" s="5"/>
      <c r="W675" s="7"/>
      <c r="X675" s="7"/>
      <c r="Y675" s="7"/>
      <c r="Z675" s="7"/>
      <c r="AA675" s="7"/>
    </row>
    <row r="676">
      <c r="B676" s="2"/>
      <c r="M676" s="5"/>
      <c r="N676" s="6"/>
      <c r="O676" s="5"/>
      <c r="P676" s="5"/>
      <c r="W676" s="7"/>
      <c r="X676" s="7"/>
      <c r="Y676" s="7"/>
      <c r="Z676" s="7"/>
      <c r="AA676" s="7"/>
    </row>
    <row r="677">
      <c r="B677" s="2"/>
      <c r="M677" s="5"/>
      <c r="N677" s="6"/>
      <c r="O677" s="5"/>
      <c r="P677" s="5"/>
      <c r="W677" s="7"/>
      <c r="X677" s="7"/>
      <c r="Y677" s="7"/>
      <c r="Z677" s="7"/>
      <c r="AA677" s="7"/>
    </row>
    <row r="678">
      <c r="B678" s="2"/>
      <c r="M678" s="5"/>
      <c r="N678" s="6"/>
      <c r="O678" s="5"/>
      <c r="P678" s="5"/>
      <c r="W678" s="7"/>
      <c r="X678" s="7"/>
      <c r="Y678" s="7"/>
      <c r="Z678" s="7"/>
      <c r="AA678" s="7"/>
    </row>
    <row r="679">
      <c r="B679" s="2"/>
      <c r="M679" s="5"/>
      <c r="N679" s="6"/>
      <c r="O679" s="5"/>
      <c r="P679" s="5"/>
      <c r="W679" s="7"/>
      <c r="X679" s="7"/>
      <c r="Y679" s="7"/>
      <c r="Z679" s="7"/>
      <c r="AA679" s="7"/>
    </row>
    <row r="680">
      <c r="B680" s="2"/>
      <c r="M680" s="5"/>
      <c r="N680" s="6"/>
      <c r="O680" s="5"/>
      <c r="P680" s="5"/>
      <c r="W680" s="7"/>
      <c r="X680" s="7"/>
      <c r="Y680" s="7"/>
      <c r="Z680" s="7"/>
      <c r="AA680" s="7"/>
    </row>
    <row r="681">
      <c r="B681" s="2"/>
      <c r="M681" s="5"/>
      <c r="N681" s="6"/>
      <c r="O681" s="5"/>
      <c r="P681" s="5"/>
      <c r="W681" s="7"/>
      <c r="X681" s="7"/>
      <c r="Y681" s="7"/>
      <c r="Z681" s="7"/>
      <c r="AA681" s="7"/>
    </row>
    <row r="682">
      <c r="B682" s="2"/>
      <c r="M682" s="5"/>
      <c r="N682" s="6"/>
      <c r="O682" s="5"/>
      <c r="P682" s="5"/>
      <c r="W682" s="7"/>
      <c r="X682" s="7"/>
      <c r="Y682" s="7"/>
      <c r="Z682" s="7"/>
      <c r="AA682" s="7"/>
    </row>
    <row r="683">
      <c r="B683" s="2"/>
      <c r="M683" s="5"/>
      <c r="N683" s="6"/>
      <c r="O683" s="5"/>
      <c r="P683" s="5"/>
      <c r="W683" s="7"/>
      <c r="X683" s="7"/>
      <c r="Y683" s="7"/>
      <c r="Z683" s="7"/>
      <c r="AA683" s="7"/>
    </row>
    <row r="684">
      <c r="B684" s="2"/>
      <c r="M684" s="5"/>
      <c r="N684" s="6"/>
      <c r="O684" s="5"/>
      <c r="P684" s="5"/>
      <c r="W684" s="7"/>
      <c r="X684" s="7"/>
      <c r="Y684" s="7"/>
      <c r="Z684" s="7"/>
      <c r="AA684" s="7"/>
    </row>
    <row r="685">
      <c r="B685" s="2"/>
      <c r="M685" s="5"/>
      <c r="N685" s="6"/>
      <c r="O685" s="5"/>
      <c r="P685" s="5"/>
      <c r="W685" s="7"/>
      <c r="X685" s="7"/>
      <c r="Y685" s="7"/>
      <c r="Z685" s="7"/>
      <c r="AA685" s="7"/>
    </row>
    <row r="686">
      <c r="B686" s="2"/>
      <c r="M686" s="5"/>
      <c r="N686" s="6"/>
      <c r="O686" s="5"/>
      <c r="P686" s="5"/>
      <c r="W686" s="7"/>
      <c r="X686" s="7"/>
      <c r="Y686" s="7"/>
      <c r="Z686" s="7"/>
      <c r="AA686" s="7"/>
    </row>
    <row r="687">
      <c r="B687" s="2"/>
      <c r="M687" s="5"/>
      <c r="N687" s="6"/>
      <c r="O687" s="5"/>
      <c r="P687" s="5"/>
      <c r="W687" s="7"/>
      <c r="X687" s="7"/>
      <c r="Y687" s="7"/>
      <c r="Z687" s="7"/>
      <c r="AA687" s="7"/>
    </row>
    <row r="688">
      <c r="B688" s="2"/>
      <c r="M688" s="5"/>
      <c r="N688" s="6"/>
      <c r="O688" s="5"/>
      <c r="P688" s="5"/>
      <c r="W688" s="7"/>
      <c r="X688" s="7"/>
      <c r="Y688" s="7"/>
      <c r="Z688" s="7"/>
      <c r="AA688" s="7"/>
    </row>
    <row r="689">
      <c r="B689" s="2"/>
      <c r="M689" s="5"/>
      <c r="N689" s="6"/>
      <c r="O689" s="5"/>
      <c r="P689" s="5"/>
      <c r="W689" s="7"/>
      <c r="X689" s="7"/>
      <c r="Y689" s="7"/>
      <c r="Z689" s="7"/>
      <c r="AA689" s="7"/>
    </row>
    <row r="690">
      <c r="B690" s="2"/>
      <c r="M690" s="5"/>
      <c r="N690" s="6"/>
      <c r="O690" s="5"/>
      <c r="P690" s="5"/>
      <c r="W690" s="7"/>
      <c r="X690" s="7"/>
      <c r="Y690" s="7"/>
      <c r="Z690" s="7"/>
      <c r="AA690" s="7"/>
    </row>
    <row r="691">
      <c r="B691" s="2"/>
      <c r="M691" s="5"/>
      <c r="N691" s="6"/>
      <c r="O691" s="5"/>
      <c r="P691" s="5"/>
      <c r="W691" s="7"/>
      <c r="X691" s="7"/>
      <c r="Y691" s="7"/>
      <c r="Z691" s="7"/>
      <c r="AA691" s="7"/>
    </row>
    <row r="692">
      <c r="B692" s="2"/>
      <c r="M692" s="5"/>
      <c r="N692" s="6"/>
      <c r="O692" s="5"/>
      <c r="P692" s="5"/>
      <c r="W692" s="7"/>
      <c r="X692" s="7"/>
      <c r="Y692" s="7"/>
      <c r="Z692" s="7"/>
      <c r="AA692" s="7"/>
    </row>
    <row r="693">
      <c r="B693" s="2"/>
      <c r="M693" s="5"/>
      <c r="N693" s="6"/>
      <c r="O693" s="5"/>
      <c r="P693" s="5"/>
      <c r="W693" s="7"/>
      <c r="X693" s="7"/>
      <c r="Y693" s="7"/>
      <c r="Z693" s="7"/>
      <c r="AA693" s="7"/>
    </row>
    <row r="694">
      <c r="B694" s="2"/>
      <c r="M694" s="5"/>
      <c r="N694" s="6"/>
      <c r="O694" s="5"/>
      <c r="P694" s="5"/>
      <c r="W694" s="7"/>
      <c r="X694" s="7"/>
      <c r="Y694" s="7"/>
      <c r="Z694" s="7"/>
      <c r="AA694" s="7"/>
    </row>
    <row r="695">
      <c r="B695" s="2"/>
      <c r="M695" s="5"/>
      <c r="N695" s="6"/>
      <c r="O695" s="5"/>
      <c r="P695" s="5"/>
      <c r="W695" s="7"/>
      <c r="X695" s="7"/>
      <c r="Y695" s="7"/>
      <c r="Z695" s="7"/>
      <c r="AA695" s="7"/>
    </row>
    <row r="696">
      <c r="B696" s="2"/>
      <c r="M696" s="5"/>
      <c r="N696" s="6"/>
      <c r="O696" s="5"/>
      <c r="P696" s="5"/>
      <c r="W696" s="7"/>
      <c r="X696" s="7"/>
      <c r="Y696" s="7"/>
      <c r="Z696" s="7"/>
      <c r="AA696" s="7"/>
    </row>
    <row r="697">
      <c r="B697" s="2"/>
      <c r="M697" s="5"/>
      <c r="N697" s="6"/>
      <c r="O697" s="5"/>
      <c r="P697" s="5"/>
      <c r="W697" s="7"/>
      <c r="X697" s="7"/>
      <c r="Y697" s="7"/>
      <c r="Z697" s="7"/>
      <c r="AA697" s="7"/>
    </row>
    <row r="698">
      <c r="B698" s="2"/>
      <c r="M698" s="5"/>
      <c r="N698" s="6"/>
      <c r="O698" s="5"/>
      <c r="P698" s="5"/>
      <c r="W698" s="7"/>
      <c r="X698" s="7"/>
      <c r="Y698" s="7"/>
      <c r="Z698" s="7"/>
      <c r="AA698" s="7"/>
    </row>
    <row r="699">
      <c r="B699" s="2"/>
      <c r="M699" s="5"/>
      <c r="N699" s="6"/>
      <c r="O699" s="5"/>
      <c r="P699" s="5"/>
      <c r="W699" s="7"/>
      <c r="X699" s="7"/>
      <c r="Y699" s="7"/>
      <c r="Z699" s="7"/>
      <c r="AA699" s="7"/>
    </row>
    <row r="700">
      <c r="B700" s="2"/>
      <c r="M700" s="5"/>
      <c r="N700" s="6"/>
      <c r="O700" s="5"/>
      <c r="P700" s="5"/>
      <c r="W700" s="7"/>
      <c r="X700" s="7"/>
      <c r="Y700" s="7"/>
      <c r="Z700" s="7"/>
      <c r="AA700" s="7"/>
    </row>
    <row r="701">
      <c r="B701" s="2"/>
      <c r="M701" s="5"/>
      <c r="N701" s="6"/>
      <c r="O701" s="5"/>
      <c r="P701" s="5"/>
      <c r="W701" s="7"/>
      <c r="X701" s="7"/>
      <c r="Y701" s="7"/>
      <c r="Z701" s="7"/>
      <c r="AA701" s="7"/>
    </row>
    <row r="702">
      <c r="B702" s="2"/>
      <c r="M702" s="5"/>
      <c r="N702" s="6"/>
      <c r="O702" s="5"/>
      <c r="P702" s="5"/>
      <c r="W702" s="7"/>
      <c r="X702" s="7"/>
      <c r="Y702" s="7"/>
      <c r="Z702" s="7"/>
      <c r="AA702" s="7"/>
    </row>
    <row r="703">
      <c r="B703" s="2"/>
      <c r="M703" s="5"/>
      <c r="N703" s="6"/>
      <c r="O703" s="5"/>
      <c r="P703" s="5"/>
      <c r="W703" s="7"/>
      <c r="X703" s="7"/>
      <c r="Y703" s="7"/>
      <c r="Z703" s="7"/>
      <c r="AA703" s="7"/>
    </row>
    <row r="704">
      <c r="B704" s="2"/>
      <c r="M704" s="5"/>
      <c r="N704" s="6"/>
      <c r="O704" s="5"/>
      <c r="P704" s="5"/>
      <c r="W704" s="7"/>
      <c r="X704" s="7"/>
      <c r="Y704" s="7"/>
      <c r="Z704" s="7"/>
      <c r="AA704" s="7"/>
    </row>
    <row r="705">
      <c r="B705" s="2"/>
      <c r="M705" s="5"/>
      <c r="N705" s="6"/>
      <c r="O705" s="5"/>
      <c r="P705" s="5"/>
      <c r="W705" s="7"/>
      <c r="X705" s="7"/>
      <c r="Y705" s="7"/>
      <c r="Z705" s="7"/>
      <c r="AA705" s="7"/>
    </row>
    <row r="706">
      <c r="B706" s="2"/>
      <c r="M706" s="5"/>
      <c r="N706" s="6"/>
      <c r="O706" s="5"/>
      <c r="P706" s="5"/>
      <c r="W706" s="7"/>
      <c r="X706" s="7"/>
      <c r="Y706" s="7"/>
      <c r="Z706" s="7"/>
      <c r="AA706" s="7"/>
    </row>
    <row r="707">
      <c r="B707" s="2"/>
      <c r="M707" s="5"/>
      <c r="N707" s="6"/>
      <c r="O707" s="5"/>
      <c r="P707" s="5"/>
      <c r="W707" s="7"/>
      <c r="X707" s="7"/>
      <c r="Y707" s="7"/>
      <c r="Z707" s="7"/>
      <c r="AA707" s="7"/>
    </row>
    <row r="708">
      <c r="B708" s="2"/>
      <c r="M708" s="5"/>
      <c r="N708" s="6"/>
      <c r="O708" s="5"/>
      <c r="P708" s="5"/>
      <c r="W708" s="7"/>
      <c r="X708" s="7"/>
      <c r="Y708" s="7"/>
      <c r="Z708" s="7"/>
      <c r="AA708" s="7"/>
    </row>
    <row r="709">
      <c r="B709" s="2"/>
      <c r="M709" s="5"/>
      <c r="N709" s="6"/>
      <c r="O709" s="5"/>
      <c r="P709" s="5"/>
      <c r="W709" s="7"/>
      <c r="X709" s="7"/>
      <c r="Y709" s="7"/>
      <c r="Z709" s="7"/>
      <c r="AA709" s="7"/>
    </row>
    <row r="710">
      <c r="B710" s="2"/>
      <c r="M710" s="5"/>
      <c r="N710" s="6"/>
      <c r="O710" s="5"/>
      <c r="P710" s="5"/>
      <c r="W710" s="7"/>
      <c r="X710" s="7"/>
      <c r="Y710" s="7"/>
      <c r="Z710" s="7"/>
      <c r="AA710" s="7"/>
    </row>
    <row r="711">
      <c r="B711" s="2"/>
      <c r="M711" s="5"/>
      <c r="N711" s="6"/>
      <c r="O711" s="5"/>
      <c r="P711" s="5"/>
      <c r="W711" s="7"/>
      <c r="X711" s="7"/>
      <c r="Y711" s="7"/>
      <c r="Z711" s="7"/>
      <c r="AA711" s="7"/>
    </row>
    <row r="712">
      <c r="B712" s="2"/>
      <c r="M712" s="5"/>
      <c r="N712" s="6"/>
      <c r="O712" s="5"/>
      <c r="P712" s="5"/>
      <c r="W712" s="7"/>
      <c r="X712" s="7"/>
      <c r="Y712" s="7"/>
      <c r="Z712" s="7"/>
      <c r="AA712" s="7"/>
    </row>
    <row r="713">
      <c r="B713" s="2"/>
      <c r="M713" s="5"/>
      <c r="N713" s="6"/>
      <c r="O713" s="5"/>
      <c r="P713" s="5"/>
      <c r="W713" s="7"/>
      <c r="X713" s="7"/>
      <c r="Y713" s="7"/>
      <c r="Z713" s="7"/>
      <c r="AA713" s="7"/>
    </row>
    <row r="714">
      <c r="B714" s="2"/>
      <c r="M714" s="5"/>
      <c r="N714" s="6"/>
      <c r="O714" s="5"/>
      <c r="P714" s="5"/>
      <c r="W714" s="7"/>
      <c r="X714" s="7"/>
      <c r="Y714" s="7"/>
      <c r="Z714" s="7"/>
      <c r="AA714" s="7"/>
    </row>
    <row r="715">
      <c r="B715" s="2"/>
      <c r="M715" s="5"/>
      <c r="N715" s="6"/>
      <c r="O715" s="5"/>
      <c r="P715" s="5"/>
      <c r="W715" s="7"/>
      <c r="X715" s="7"/>
      <c r="Y715" s="7"/>
      <c r="Z715" s="7"/>
      <c r="AA715" s="7"/>
    </row>
    <row r="716">
      <c r="B716" s="2"/>
      <c r="M716" s="5"/>
      <c r="N716" s="6"/>
      <c r="O716" s="5"/>
      <c r="P716" s="5"/>
      <c r="W716" s="7"/>
      <c r="X716" s="7"/>
      <c r="Y716" s="7"/>
      <c r="Z716" s="7"/>
      <c r="AA716" s="7"/>
    </row>
    <row r="717">
      <c r="B717" s="2"/>
      <c r="M717" s="5"/>
      <c r="N717" s="6"/>
      <c r="O717" s="5"/>
      <c r="P717" s="5"/>
      <c r="W717" s="7"/>
      <c r="X717" s="7"/>
      <c r="Y717" s="7"/>
      <c r="Z717" s="7"/>
      <c r="AA717" s="7"/>
    </row>
    <row r="718">
      <c r="B718" s="2"/>
      <c r="M718" s="5"/>
      <c r="N718" s="6"/>
      <c r="O718" s="5"/>
      <c r="P718" s="5"/>
      <c r="W718" s="7"/>
      <c r="X718" s="7"/>
      <c r="Y718" s="7"/>
      <c r="Z718" s="7"/>
      <c r="AA718" s="7"/>
    </row>
    <row r="719">
      <c r="B719" s="2"/>
      <c r="M719" s="5"/>
      <c r="N719" s="6"/>
      <c r="O719" s="5"/>
      <c r="P719" s="5"/>
      <c r="W719" s="7"/>
      <c r="X719" s="7"/>
      <c r="Y719" s="7"/>
      <c r="Z719" s="7"/>
      <c r="AA719" s="7"/>
    </row>
    <row r="720">
      <c r="B720" s="2"/>
      <c r="M720" s="5"/>
      <c r="N720" s="6"/>
      <c r="O720" s="5"/>
      <c r="P720" s="5"/>
      <c r="W720" s="7"/>
      <c r="X720" s="7"/>
      <c r="Y720" s="7"/>
      <c r="Z720" s="7"/>
      <c r="AA720" s="7"/>
    </row>
    <row r="721">
      <c r="B721" s="2"/>
      <c r="M721" s="5"/>
      <c r="N721" s="6"/>
      <c r="O721" s="5"/>
      <c r="P721" s="5"/>
      <c r="W721" s="7"/>
      <c r="X721" s="7"/>
      <c r="Y721" s="7"/>
      <c r="Z721" s="7"/>
      <c r="AA721" s="7"/>
    </row>
    <row r="722">
      <c r="B722" s="2"/>
      <c r="M722" s="5"/>
      <c r="N722" s="6"/>
      <c r="O722" s="5"/>
      <c r="P722" s="5"/>
      <c r="W722" s="7"/>
      <c r="X722" s="7"/>
      <c r="Y722" s="7"/>
      <c r="Z722" s="7"/>
      <c r="AA722" s="7"/>
    </row>
    <row r="723">
      <c r="B723" s="2"/>
      <c r="M723" s="5"/>
      <c r="N723" s="6"/>
      <c r="O723" s="5"/>
      <c r="P723" s="5"/>
      <c r="W723" s="7"/>
      <c r="X723" s="7"/>
      <c r="Y723" s="7"/>
      <c r="Z723" s="7"/>
      <c r="AA723" s="7"/>
    </row>
    <row r="724">
      <c r="B724" s="2"/>
      <c r="M724" s="5"/>
      <c r="N724" s="6"/>
      <c r="O724" s="5"/>
      <c r="P724" s="5"/>
      <c r="W724" s="7"/>
      <c r="X724" s="7"/>
      <c r="Y724" s="7"/>
      <c r="Z724" s="7"/>
      <c r="AA724" s="7"/>
    </row>
    <row r="725">
      <c r="B725" s="2"/>
      <c r="M725" s="5"/>
      <c r="N725" s="6"/>
      <c r="O725" s="5"/>
      <c r="P725" s="5"/>
      <c r="W725" s="7"/>
      <c r="X725" s="7"/>
      <c r="Y725" s="7"/>
      <c r="Z725" s="7"/>
      <c r="AA725" s="7"/>
    </row>
    <row r="726">
      <c r="B726" s="2"/>
      <c r="M726" s="5"/>
      <c r="N726" s="6"/>
      <c r="O726" s="5"/>
      <c r="P726" s="5"/>
      <c r="W726" s="7"/>
      <c r="X726" s="7"/>
      <c r="Y726" s="7"/>
      <c r="Z726" s="7"/>
      <c r="AA726" s="7"/>
    </row>
    <row r="727">
      <c r="B727" s="2"/>
      <c r="M727" s="5"/>
      <c r="N727" s="6"/>
      <c r="O727" s="5"/>
      <c r="P727" s="5"/>
      <c r="W727" s="7"/>
      <c r="X727" s="7"/>
      <c r="Y727" s="7"/>
      <c r="Z727" s="7"/>
      <c r="AA727" s="7"/>
    </row>
    <row r="728">
      <c r="B728" s="2"/>
      <c r="M728" s="5"/>
      <c r="N728" s="6"/>
      <c r="O728" s="5"/>
      <c r="P728" s="5"/>
      <c r="W728" s="7"/>
      <c r="X728" s="7"/>
      <c r="Y728" s="7"/>
      <c r="Z728" s="7"/>
      <c r="AA728" s="7"/>
    </row>
    <row r="729">
      <c r="B729" s="2"/>
      <c r="M729" s="5"/>
      <c r="N729" s="6"/>
      <c r="O729" s="5"/>
      <c r="P729" s="5"/>
      <c r="W729" s="7"/>
      <c r="X729" s="7"/>
      <c r="Y729" s="7"/>
      <c r="Z729" s="7"/>
      <c r="AA729" s="7"/>
    </row>
    <row r="730">
      <c r="B730" s="2"/>
      <c r="M730" s="5"/>
      <c r="N730" s="6"/>
      <c r="O730" s="5"/>
      <c r="P730" s="5"/>
      <c r="W730" s="7"/>
      <c r="X730" s="7"/>
      <c r="Y730" s="7"/>
      <c r="Z730" s="7"/>
      <c r="AA730" s="7"/>
    </row>
    <row r="731">
      <c r="B731" s="2"/>
      <c r="M731" s="5"/>
      <c r="N731" s="6"/>
      <c r="O731" s="5"/>
      <c r="P731" s="5"/>
      <c r="W731" s="7"/>
      <c r="X731" s="7"/>
      <c r="Y731" s="7"/>
      <c r="Z731" s="7"/>
      <c r="AA731" s="7"/>
    </row>
    <row r="732">
      <c r="B732" s="2"/>
      <c r="M732" s="5"/>
      <c r="N732" s="6"/>
      <c r="O732" s="5"/>
      <c r="P732" s="5"/>
      <c r="W732" s="7"/>
      <c r="X732" s="7"/>
      <c r="Y732" s="7"/>
      <c r="Z732" s="7"/>
      <c r="AA732" s="7"/>
    </row>
    <row r="733">
      <c r="B733" s="2"/>
      <c r="M733" s="5"/>
      <c r="N733" s="6"/>
      <c r="O733" s="5"/>
      <c r="P733" s="5"/>
      <c r="W733" s="7"/>
      <c r="X733" s="7"/>
      <c r="Y733" s="7"/>
      <c r="Z733" s="7"/>
      <c r="AA733" s="7"/>
    </row>
    <row r="734">
      <c r="B734" s="2"/>
      <c r="M734" s="5"/>
      <c r="N734" s="6"/>
      <c r="O734" s="5"/>
      <c r="P734" s="5"/>
      <c r="W734" s="7"/>
      <c r="X734" s="7"/>
      <c r="Y734" s="7"/>
      <c r="Z734" s="7"/>
      <c r="AA734" s="7"/>
    </row>
    <row r="735">
      <c r="B735" s="2"/>
      <c r="M735" s="5"/>
      <c r="N735" s="6"/>
      <c r="O735" s="5"/>
      <c r="P735" s="5"/>
      <c r="W735" s="7"/>
      <c r="X735" s="7"/>
      <c r="Y735" s="7"/>
      <c r="Z735" s="7"/>
      <c r="AA735" s="7"/>
    </row>
    <row r="736">
      <c r="B736" s="2"/>
      <c r="M736" s="5"/>
      <c r="N736" s="6"/>
      <c r="O736" s="5"/>
      <c r="P736" s="5"/>
      <c r="W736" s="7"/>
      <c r="X736" s="7"/>
      <c r="Y736" s="7"/>
      <c r="Z736" s="7"/>
      <c r="AA736" s="7"/>
    </row>
    <row r="737">
      <c r="B737" s="2"/>
      <c r="M737" s="5"/>
      <c r="N737" s="6"/>
      <c r="O737" s="5"/>
      <c r="P737" s="5"/>
      <c r="W737" s="7"/>
      <c r="X737" s="7"/>
      <c r="Y737" s="7"/>
      <c r="Z737" s="7"/>
      <c r="AA737" s="7"/>
    </row>
    <row r="738">
      <c r="B738" s="2"/>
      <c r="M738" s="5"/>
      <c r="N738" s="6"/>
      <c r="O738" s="5"/>
      <c r="P738" s="5"/>
      <c r="W738" s="7"/>
      <c r="X738" s="7"/>
      <c r="Y738" s="7"/>
      <c r="Z738" s="7"/>
      <c r="AA738" s="7"/>
    </row>
    <row r="739">
      <c r="B739" s="2"/>
      <c r="M739" s="5"/>
      <c r="N739" s="6"/>
      <c r="O739" s="5"/>
      <c r="P739" s="5"/>
      <c r="W739" s="7"/>
      <c r="X739" s="7"/>
      <c r="Y739" s="7"/>
      <c r="Z739" s="7"/>
      <c r="AA739" s="7"/>
    </row>
    <row r="740">
      <c r="B740" s="2"/>
      <c r="M740" s="5"/>
      <c r="N740" s="6"/>
      <c r="O740" s="5"/>
      <c r="P740" s="5"/>
      <c r="W740" s="7"/>
      <c r="X740" s="7"/>
      <c r="Y740" s="7"/>
      <c r="Z740" s="7"/>
      <c r="AA740" s="7"/>
    </row>
    <row r="741">
      <c r="B741" s="2"/>
      <c r="M741" s="5"/>
      <c r="N741" s="6"/>
      <c r="O741" s="5"/>
      <c r="P741" s="5"/>
      <c r="W741" s="7"/>
      <c r="X741" s="7"/>
      <c r="Y741" s="7"/>
      <c r="Z741" s="7"/>
      <c r="AA741" s="7"/>
    </row>
    <row r="742">
      <c r="B742" s="2"/>
      <c r="M742" s="5"/>
      <c r="N742" s="6"/>
      <c r="O742" s="5"/>
      <c r="P742" s="5"/>
      <c r="W742" s="7"/>
      <c r="X742" s="7"/>
      <c r="Y742" s="7"/>
      <c r="Z742" s="7"/>
      <c r="AA742" s="7"/>
    </row>
    <row r="743">
      <c r="B743" s="2"/>
      <c r="M743" s="5"/>
      <c r="N743" s="6"/>
      <c r="O743" s="5"/>
      <c r="P743" s="5"/>
      <c r="W743" s="7"/>
      <c r="X743" s="7"/>
      <c r="Y743" s="7"/>
      <c r="Z743" s="7"/>
      <c r="AA743" s="7"/>
    </row>
    <row r="744">
      <c r="B744" s="2"/>
      <c r="M744" s="5"/>
      <c r="N744" s="6"/>
      <c r="O744" s="5"/>
      <c r="P744" s="5"/>
      <c r="W744" s="7"/>
      <c r="X744" s="7"/>
      <c r="Y744" s="7"/>
      <c r="Z744" s="7"/>
      <c r="AA744" s="7"/>
    </row>
    <row r="745">
      <c r="B745" s="2"/>
      <c r="M745" s="5"/>
      <c r="N745" s="6"/>
      <c r="O745" s="5"/>
      <c r="P745" s="5"/>
      <c r="W745" s="7"/>
      <c r="X745" s="7"/>
      <c r="Y745" s="7"/>
      <c r="Z745" s="7"/>
      <c r="AA745" s="7"/>
    </row>
    <row r="746">
      <c r="B746" s="2"/>
      <c r="M746" s="5"/>
      <c r="N746" s="6"/>
      <c r="O746" s="5"/>
      <c r="P746" s="5"/>
      <c r="W746" s="7"/>
      <c r="X746" s="7"/>
      <c r="Y746" s="7"/>
      <c r="Z746" s="7"/>
      <c r="AA746" s="7"/>
    </row>
    <row r="747">
      <c r="B747" s="2"/>
      <c r="M747" s="5"/>
      <c r="N747" s="6"/>
      <c r="O747" s="5"/>
      <c r="P747" s="5"/>
      <c r="W747" s="7"/>
      <c r="X747" s="7"/>
      <c r="Y747" s="7"/>
      <c r="Z747" s="7"/>
      <c r="AA747" s="7"/>
    </row>
    <row r="748">
      <c r="B748" s="2"/>
      <c r="M748" s="5"/>
      <c r="N748" s="6"/>
      <c r="O748" s="5"/>
      <c r="P748" s="5"/>
      <c r="W748" s="7"/>
      <c r="X748" s="7"/>
      <c r="Y748" s="7"/>
      <c r="Z748" s="7"/>
      <c r="AA748" s="7"/>
    </row>
    <row r="749">
      <c r="B749" s="2"/>
      <c r="M749" s="5"/>
      <c r="N749" s="6"/>
      <c r="O749" s="5"/>
      <c r="P749" s="5"/>
      <c r="W749" s="7"/>
      <c r="X749" s="7"/>
      <c r="Y749" s="7"/>
      <c r="Z749" s="7"/>
      <c r="AA749" s="7"/>
    </row>
    <row r="750">
      <c r="B750" s="2"/>
      <c r="M750" s="5"/>
      <c r="N750" s="6"/>
      <c r="O750" s="5"/>
      <c r="P750" s="5"/>
      <c r="W750" s="7"/>
      <c r="X750" s="7"/>
      <c r="Y750" s="7"/>
      <c r="Z750" s="7"/>
      <c r="AA750" s="7"/>
    </row>
    <row r="751">
      <c r="B751" s="2"/>
      <c r="M751" s="5"/>
      <c r="N751" s="6"/>
      <c r="O751" s="5"/>
      <c r="P751" s="5"/>
      <c r="W751" s="7"/>
      <c r="X751" s="7"/>
      <c r="Y751" s="7"/>
      <c r="Z751" s="7"/>
      <c r="AA751" s="7"/>
    </row>
    <row r="752">
      <c r="B752" s="2"/>
      <c r="M752" s="5"/>
      <c r="N752" s="6"/>
      <c r="O752" s="5"/>
      <c r="P752" s="5"/>
      <c r="W752" s="7"/>
      <c r="X752" s="7"/>
      <c r="Y752" s="7"/>
      <c r="Z752" s="7"/>
      <c r="AA752" s="7"/>
    </row>
    <row r="753">
      <c r="B753" s="2"/>
      <c r="M753" s="5"/>
      <c r="N753" s="6"/>
      <c r="O753" s="5"/>
      <c r="P753" s="5"/>
      <c r="W753" s="7"/>
      <c r="X753" s="7"/>
      <c r="Y753" s="7"/>
      <c r="Z753" s="7"/>
      <c r="AA753" s="7"/>
    </row>
    <row r="754">
      <c r="B754" s="2"/>
      <c r="M754" s="5"/>
      <c r="N754" s="6"/>
      <c r="O754" s="5"/>
      <c r="P754" s="5"/>
      <c r="W754" s="7"/>
      <c r="X754" s="7"/>
      <c r="Y754" s="7"/>
      <c r="Z754" s="7"/>
      <c r="AA754" s="7"/>
    </row>
    <row r="755">
      <c r="B755" s="2"/>
      <c r="M755" s="5"/>
      <c r="N755" s="6"/>
      <c r="O755" s="5"/>
      <c r="P755" s="5"/>
      <c r="W755" s="7"/>
      <c r="X755" s="7"/>
      <c r="Y755" s="7"/>
      <c r="Z755" s="7"/>
      <c r="AA755" s="7"/>
    </row>
    <row r="756">
      <c r="B756" s="2"/>
      <c r="M756" s="5"/>
      <c r="N756" s="6"/>
      <c r="O756" s="5"/>
      <c r="P756" s="5"/>
      <c r="W756" s="7"/>
      <c r="X756" s="7"/>
      <c r="Y756" s="7"/>
      <c r="Z756" s="7"/>
      <c r="AA756" s="7"/>
    </row>
    <row r="757">
      <c r="B757" s="2"/>
      <c r="M757" s="5"/>
      <c r="N757" s="6"/>
      <c r="O757" s="5"/>
      <c r="P757" s="5"/>
      <c r="W757" s="7"/>
      <c r="X757" s="7"/>
      <c r="Y757" s="7"/>
      <c r="Z757" s="7"/>
      <c r="AA757" s="7"/>
    </row>
    <row r="758">
      <c r="B758" s="2"/>
      <c r="M758" s="5"/>
      <c r="N758" s="6"/>
      <c r="O758" s="5"/>
      <c r="P758" s="5"/>
      <c r="W758" s="7"/>
      <c r="X758" s="7"/>
      <c r="Y758" s="7"/>
      <c r="Z758" s="7"/>
      <c r="AA758" s="7"/>
    </row>
    <row r="759">
      <c r="B759" s="2"/>
      <c r="M759" s="5"/>
      <c r="N759" s="6"/>
      <c r="O759" s="5"/>
      <c r="P759" s="5"/>
      <c r="W759" s="7"/>
      <c r="X759" s="7"/>
      <c r="Y759" s="7"/>
      <c r="Z759" s="7"/>
      <c r="AA759" s="7"/>
    </row>
    <row r="760">
      <c r="B760" s="2"/>
      <c r="M760" s="5"/>
      <c r="N760" s="6"/>
      <c r="O760" s="5"/>
      <c r="P760" s="5"/>
      <c r="W760" s="7"/>
      <c r="X760" s="7"/>
      <c r="Y760" s="7"/>
      <c r="Z760" s="7"/>
      <c r="AA760" s="7"/>
    </row>
    <row r="761">
      <c r="B761" s="2"/>
      <c r="M761" s="5"/>
      <c r="N761" s="6"/>
      <c r="O761" s="5"/>
      <c r="P761" s="5"/>
      <c r="W761" s="7"/>
      <c r="X761" s="7"/>
      <c r="Y761" s="7"/>
      <c r="Z761" s="7"/>
      <c r="AA761" s="7"/>
    </row>
    <row r="762">
      <c r="B762" s="2"/>
      <c r="M762" s="5"/>
      <c r="N762" s="6"/>
      <c r="O762" s="5"/>
      <c r="P762" s="5"/>
      <c r="W762" s="7"/>
      <c r="X762" s="7"/>
      <c r="Y762" s="7"/>
      <c r="Z762" s="7"/>
      <c r="AA762" s="7"/>
    </row>
    <row r="763">
      <c r="B763" s="2"/>
      <c r="M763" s="5"/>
      <c r="N763" s="6"/>
      <c r="O763" s="5"/>
      <c r="P763" s="5"/>
      <c r="W763" s="7"/>
      <c r="X763" s="7"/>
      <c r="Y763" s="7"/>
      <c r="Z763" s="7"/>
      <c r="AA763" s="7"/>
    </row>
    <row r="764">
      <c r="B764" s="2"/>
      <c r="M764" s="5"/>
      <c r="N764" s="6"/>
      <c r="O764" s="5"/>
      <c r="P764" s="5"/>
      <c r="W764" s="7"/>
      <c r="X764" s="7"/>
      <c r="Y764" s="7"/>
      <c r="Z764" s="7"/>
      <c r="AA764" s="7"/>
    </row>
    <row r="765">
      <c r="B765" s="2"/>
      <c r="M765" s="5"/>
      <c r="N765" s="6"/>
      <c r="O765" s="5"/>
      <c r="P765" s="5"/>
      <c r="W765" s="7"/>
      <c r="X765" s="7"/>
      <c r="Y765" s="7"/>
      <c r="Z765" s="7"/>
      <c r="AA765" s="7"/>
    </row>
    <row r="766">
      <c r="B766" s="2"/>
      <c r="M766" s="5"/>
      <c r="N766" s="6"/>
      <c r="O766" s="5"/>
      <c r="P766" s="5"/>
      <c r="W766" s="7"/>
      <c r="X766" s="7"/>
      <c r="Y766" s="7"/>
      <c r="Z766" s="7"/>
      <c r="AA766" s="7"/>
    </row>
    <row r="767">
      <c r="B767" s="2"/>
      <c r="M767" s="5"/>
      <c r="N767" s="6"/>
      <c r="O767" s="5"/>
      <c r="P767" s="5"/>
      <c r="W767" s="7"/>
      <c r="X767" s="7"/>
      <c r="Y767" s="7"/>
      <c r="Z767" s="7"/>
      <c r="AA767" s="7"/>
    </row>
    <row r="768">
      <c r="B768" s="2"/>
      <c r="M768" s="5"/>
      <c r="N768" s="6"/>
      <c r="O768" s="5"/>
      <c r="P768" s="5"/>
      <c r="W768" s="7"/>
      <c r="X768" s="7"/>
      <c r="Y768" s="7"/>
      <c r="Z768" s="7"/>
      <c r="AA768" s="7"/>
    </row>
    <row r="769">
      <c r="B769" s="2"/>
      <c r="M769" s="5"/>
      <c r="N769" s="6"/>
      <c r="O769" s="5"/>
      <c r="P769" s="5"/>
      <c r="W769" s="7"/>
      <c r="X769" s="7"/>
      <c r="Y769" s="7"/>
      <c r="Z769" s="7"/>
      <c r="AA769" s="7"/>
    </row>
    <row r="770">
      <c r="B770" s="2"/>
      <c r="M770" s="5"/>
      <c r="N770" s="6"/>
      <c r="O770" s="5"/>
      <c r="P770" s="5"/>
      <c r="W770" s="7"/>
      <c r="X770" s="7"/>
      <c r="Y770" s="7"/>
      <c r="Z770" s="7"/>
      <c r="AA770" s="7"/>
    </row>
    <row r="771">
      <c r="B771" s="2"/>
      <c r="M771" s="5"/>
      <c r="N771" s="6"/>
      <c r="O771" s="5"/>
      <c r="P771" s="5"/>
      <c r="W771" s="7"/>
      <c r="X771" s="7"/>
      <c r="Y771" s="7"/>
      <c r="Z771" s="7"/>
      <c r="AA771" s="7"/>
    </row>
    <row r="772">
      <c r="B772" s="2"/>
      <c r="M772" s="5"/>
      <c r="N772" s="6"/>
      <c r="O772" s="5"/>
      <c r="P772" s="5"/>
      <c r="W772" s="7"/>
      <c r="X772" s="7"/>
      <c r="Y772" s="7"/>
      <c r="Z772" s="7"/>
      <c r="AA772" s="7"/>
    </row>
    <row r="773">
      <c r="B773" s="2"/>
      <c r="M773" s="5"/>
      <c r="N773" s="6"/>
      <c r="O773" s="5"/>
      <c r="P773" s="5"/>
      <c r="W773" s="7"/>
      <c r="X773" s="7"/>
      <c r="Y773" s="7"/>
      <c r="Z773" s="7"/>
      <c r="AA773" s="7"/>
    </row>
    <row r="774">
      <c r="B774" s="2"/>
      <c r="M774" s="5"/>
      <c r="N774" s="6"/>
      <c r="O774" s="5"/>
      <c r="P774" s="5"/>
      <c r="W774" s="7"/>
      <c r="X774" s="7"/>
      <c r="Y774" s="7"/>
      <c r="Z774" s="7"/>
      <c r="AA774" s="7"/>
    </row>
    <row r="775">
      <c r="B775" s="2"/>
      <c r="M775" s="5"/>
      <c r="N775" s="6"/>
      <c r="O775" s="5"/>
      <c r="P775" s="5"/>
      <c r="W775" s="7"/>
      <c r="X775" s="7"/>
      <c r="Y775" s="7"/>
      <c r="Z775" s="7"/>
      <c r="AA775" s="7"/>
    </row>
    <row r="776">
      <c r="B776" s="2"/>
      <c r="M776" s="5"/>
      <c r="N776" s="6"/>
      <c r="O776" s="5"/>
      <c r="P776" s="5"/>
      <c r="W776" s="7"/>
      <c r="X776" s="7"/>
      <c r="Y776" s="7"/>
      <c r="Z776" s="7"/>
      <c r="AA776" s="7"/>
    </row>
    <row r="777">
      <c r="B777" s="2"/>
      <c r="M777" s="5"/>
      <c r="N777" s="6"/>
      <c r="O777" s="5"/>
      <c r="P777" s="5"/>
      <c r="W777" s="7"/>
      <c r="X777" s="7"/>
      <c r="Y777" s="7"/>
      <c r="Z777" s="7"/>
      <c r="AA777" s="7"/>
    </row>
    <row r="778">
      <c r="B778" s="2"/>
      <c r="M778" s="5"/>
      <c r="N778" s="6"/>
      <c r="O778" s="5"/>
      <c r="P778" s="5"/>
      <c r="W778" s="7"/>
      <c r="X778" s="7"/>
      <c r="Y778" s="7"/>
      <c r="Z778" s="7"/>
      <c r="AA778" s="7"/>
    </row>
    <row r="779">
      <c r="B779" s="2"/>
      <c r="M779" s="5"/>
      <c r="N779" s="6"/>
      <c r="O779" s="5"/>
      <c r="P779" s="5"/>
      <c r="W779" s="7"/>
      <c r="X779" s="7"/>
      <c r="Y779" s="7"/>
      <c r="Z779" s="7"/>
      <c r="AA779" s="7"/>
    </row>
    <row r="780">
      <c r="B780" s="2"/>
      <c r="M780" s="5"/>
      <c r="N780" s="6"/>
      <c r="O780" s="5"/>
      <c r="P780" s="5"/>
      <c r="W780" s="7"/>
      <c r="X780" s="7"/>
      <c r="Y780" s="7"/>
      <c r="Z780" s="7"/>
      <c r="AA780" s="7"/>
    </row>
    <row r="781">
      <c r="B781" s="2"/>
      <c r="M781" s="5"/>
      <c r="N781" s="6"/>
      <c r="O781" s="5"/>
      <c r="P781" s="5"/>
      <c r="W781" s="7"/>
      <c r="X781" s="7"/>
      <c r="Y781" s="7"/>
      <c r="Z781" s="7"/>
      <c r="AA781" s="7"/>
    </row>
    <row r="782">
      <c r="B782" s="2"/>
      <c r="M782" s="5"/>
      <c r="N782" s="6"/>
      <c r="O782" s="5"/>
      <c r="P782" s="5"/>
      <c r="W782" s="7"/>
      <c r="X782" s="7"/>
      <c r="Y782" s="7"/>
      <c r="Z782" s="7"/>
      <c r="AA782" s="7"/>
    </row>
    <row r="783">
      <c r="B783" s="2"/>
      <c r="M783" s="5"/>
      <c r="N783" s="6"/>
      <c r="O783" s="5"/>
      <c r="P783" s="5"/>
      <c r="W783" s="7"/>
      <c r="X783" s="7"/>
      <c r="Y783" s="7"/>
      <c r="Z783" s="7"/>
      <c r="AA783" s="7"/>
    </row>
    <row r="784">
      <c r="B784" s="2"/>
      <c r="M784" s="5"/>
      <c r="N784" s="6"/>
      <c r="O784" s="5"/>
      <c r="P784" s="5"/>
      <c r="W784" s="7"/>
      <c r="X784" s="7"/>
      <c r="Y784" s="7"/>
      <c r="Z784" s="7"/>
      <c r="AA784" s="7"/>
    </row>
    <row r="785">
      <c r="B785" s="2"/>
      <c r="M785" s="5"/>
      <c r="N785" s="6"/>
      <c r="O785" s="5"/>
      <c r="P785" s="5"/>
      <c r="W785" s="7"/>
      <c r="X785" s="7"/>
      <c r="Y785" s="7"/>
      <c r="Z785" s="7"/>
      <c r="AA785" s="7"/>
    </row>
    <row r="786">
      <c r="B786" s="2"/>
      <c r="M786" s="5"/>
      <c r="N786" s="6"/>
      <c r="O786" s="5"/>
      <c r="P786" s="5"/>
      <c r="W786" s="7"/>
      <c r="X786" s="7"/>
      <c r="Y786" s="7"/>
      <c r="Z786" s="7"/>
      <c r="AA786" s="7"/>
    </row>
    <row r="787">
      <c r="B787" s="2"/>
      <c r="M787" s="5"/>
      <c r="N787" s="6"/>
      <c r="O787" s="5"/>
      <c r="P787" s="5"/>
      <c r="W787" s="7"/>
      <c r="X787" s="7"/>
      <c r="Y787" s="7"/>
      <c r="Z787" s="7"/>
      <c r="AA787" s="7"/>
    </row>
    <row r="788">
      <c r="B788" s="2"/>
      <c r="M788" s="5"/>
      <c r="N788" s="6"/>
      <c r="O788" s="5"/>
      <c r="P788" s="5"/>
      <c r="W788" s="7"/>
      <c r="X788" s="7"/>
      <c r="Y788" s="7"/>
      <c r="Z788" s="7"/>
      <c r="AA788" s="7"/>
    </row>
    <row r="789">
      <c r="B789" s="2"/>
      <c r="M789" s="5"/>
      <c r="N789" s="6"/>
      <c r="O789" s="5"/>
      <c r="P789" s="5"/>
      <c r="W789" s="7"/>
      <c r="X789" s="7"/>
      <c r="Y789" s="7"/>
      <c r="Z789" s="7"/>
      <c r="AA789" s="7"/>
    </row>
    <row r="790">
      <c r="B790" s="2"/>
      <c r="M790" s="5"/>
      <c r="N790" s="6"/>
      <c r="O790" s="5"/>
      <c r="P790" s="5"/>
      <c r="W790" s="7"/>
      <c r="X790" s="7"/>
      <c r="Y790" s="7"/>
      <c r="Z790" s="7"/>
      <c r="AA790" s="7"/>
    </row>
    <row r="791">
      <c r="B791" s="2"/>
      <c r="M791" s="5"/>
      <c r="N791" s="6"/>
      <c r="O791" s="5"/>
      <c r="P791" s="5"/>
      <c r="W791" s="7"/>
      <c r="X791" s="7"/>
      <c r="Y791" s="7"/>
      <c r="Z791" s="7"/>
      <c r="AA791" s="7"/>
    </row>
    <row r="792">
      <c r="B792" s="2"/>
      <c r="M792" s="5"/>
      <c r="N792" s="6"/>
      <c r="O792" s="5"/>
      <c r="P792" s="5"/>
      <c r="W792" s="7"/>
      <c r="X792" s="7"/>
      <c r="Y792" s="7"/>
      <c r="Z792" s="7"/>
      <c r="AA792" s="7"/>
    </row>
    <row r="793">
      <c r="B793" s="2"/>
      <c r="M793" s="5"/>
      <c r="N793" s="6"/>
      <c r="O793" s="5"/>
      <c r="P793" s="5"/>
      <c r="W793" s="7"/>
      <c r="X793" s="7"/>
      <c r="Y793" s="7"/>
      <c r="Z793" s="7"/>
      <c r="AA793" s="7"/>
    </row>
    <row r="794">
      <c r="B794" s="2"/>
      <c r="M794" s="5"/>
      <c r="N794" s="6"/>
      <c r="O794" s="5"/>
      <c r="P794" s="5"/>
      <c r="W794" s="7"/>
      <c r="X794" s="7"/>
      <c r="Y794" s="7"/>
      <c r="Z794" s="7"/>
      <c r="AA794" s="7"/>
    </row>
    <row r="795">
      <c r="B795" s="2"/>
      <c r="M795" s="5"/>
      <c r="N795" s="6"/>
      <c r="O795" s="5"/>
      <c r="P795" s="5"/>
      <c r="W795" s="7"/>
      <c r="X795" s="7"/>
      <c r="Y795" s="7"/>
      <c r="Z795" s="7"/>
      <c r="AA795" s="7"/>
    </row>
    <row r="796">
      <c r="B796" s="2"/>
      <c r="M796" s="5"/>
      <c r="N796" s="6"/>
      <c r="O796" s="5"/>
      <c r="P796" s="5"/>
      <c r="W796" s="7"/>
      <c r="X796" s="7"/>
      <c r="Y796" s="7"/>
      <c r="Z796" s="7"/>
      <c r="AA796" s="7"/>
    </row>
    <row r="797">
      <c r="B797" s="2"/>
      <c r="M797" s="5"/>
      <c r="N797" s="6"/>
      <c r="O797" s="5"/>
      <c r="P797" s="5"/>
      <c r="W797" s="7"/>
      <c r="X797" s="7"/>
      <c r="Y797" s="7"/>
      <c r="Z797" s="7"/>
      <c r="AA797" s="7"/>
    </row>
    <row r="798">
      <c r="B798" s="2"/>
      <c r="M798" s="5"/>
      <c r="N798" s="6"/>
      <c r="O798" s="5"/>
      <c r="P798" s="5"/>
      <c r="W798" s="7"/>
      <c r="X798" s="7"/>
      <c r="Y798" s="7"/>
      <c r="Z798" s="7"/>
      <c r="AA798" s="7"/>
    </row>
    <row r="799">
      <c r="B799" s="2"/>
      <c r="M799" s="5"/>
      <c r="N799" s="6"/>
      <c r="O799" s="5"/>
      <c r="P799" s="5"/>
      <c r="W799" s="7"/>
      <c r="X799" s="7"/>
      <c r="Y799" s="7"/>
      <c r="Z799" s="7"/>
      <c r="AA799" s="7"/>
    </row>
    <row r="800">
      <c r="B800" s="2"/>
      <c r="M800" s="5"/>
      <c r="N800" s="6"/>
      <c r="O800" s="5"/>
      <c r="P800" s="5"/>
      <c r="W800" s="7"/>
      <c r="X800" s="7"/>
      <c r="Y800" s="7"/>
      <c r="Z800" s="7"/>
      <c r="AA800" s="7"/>
    </row>
    <row r="801">
      <c r="B801" s="2"/>
      <c r="M801" s="5"/>
      <c r="N801" s="6"/>
      <c r="O801" s="5"/>
      <c r="P801" s="5"/>
      <c r="W801" s="7"/>
      <c r="X801" s="7"/>
      <c r="Y801" s="7"/>
      <c r="Z801" s="7"/>
      <c r="AA801" s="7"/>
    </row>
    <row r="802">
      <c r="B802" s="2"/>
      <c r="M802" s="5"/>
      <c r="N802" s="6"/>
      <c r="O802" s="5"/>
      <c r="P802" s="5"/>
      <c r="W802" s="7"/>
      <c r="X802" s="7"/>
      <c r="Y802" s="7"/>
      <c r="Z802" s="7"/>
      <c r="AA802" s="7"/>
    </row>
    <row r="803">
      <c r="B803" s="2"/>
      <c r="M803" s="5"/>
      <c r="N803" s="6"/>
      <c r="O803" s="5"/>
      <c r="P803" s="5"/>
      <c r="W803" s="7"/>
      <c r="X803" s="7"/>
      <c r="Y803" s="7"/>
      <c r="Z803" s="7"/>
      <c r="AA803" s="7"/>
    </row>
    <row r="804">
      <c r="B804" s="2"/>
      <c r="M804" s="5"/>
      <c r="N804" s="6"/>
      <c r="O804" s="5"/>
      <c r="P804" s="5"/>
      <c r="W804" s="7"/>
      <c r="X804" s="7"/>
      <c r="Y804" s="7"/>
      <c r="Z804" s="7"/>
      <c r="AA804" s="7"/>
    </row>
    <row r="805">
      <c r="B805" s="2"/>
      <c r="M805" s="5"/>
      <c r="N805" s="6"/>
      <c r="O805" s="5"/>
      <c r="P805" s="5"/>
      <c r="W805" s="7"/>
      <c r="X805" s="7"/>
      <c r="Y805" s="7"/>
      <c r="Z805" s="7"/>
      <c r="AA805" s="7"/>
    </row>
    <row r="806">
      <c r="B806" s="2"/>
      <c r="M806" s="5"/>
      <c r="N806" s="6"/>
      <c r="O806" s="5"/>
      <c r="P806" s="5"/>
      <c r="W806" s="7"/>
      <c r="X806" s="7"/>
      <c r="Y806" s="7"/>
      <c r="Z806" s="7"/>
      <c r="AA806" s="7"/>
    </row>
    <row r="807">
      <c r="B807" s="2"/>
      <c r="M807" s="5"/>
      <c r="N807" s="6"/>
      <c r="O807" s="5"/>
      <c r="P807" s="5"/>
      <c r="W807" s="7"/>
      <c r="X807" s="7"/>
      <c r="Y807" s="7"/>
      <c r="Z807" s="7"/>
      <c r="AA807" s="7"/>
    </row>
    <row r="808">
      <c r="B808" s="2"/>
      <c r="M808" s="5"/>
      <c r="N808" s="6"/>
      <c r="O808" s="5"/>
      <c r="P808" s="5"/>
      <c r="W808" s="7"/>
      <c r="X808" s="7"/>
      <c r="Y808" s="7"/>
      <c r="Z808" s="7"/>
      <c r="AA808" s="7"/>
    </row>
    <row r="809">
      <c r="B809" s="2"/>
      <c r="M809" s="5"/>
      <c r="N809" s="6"/>
      <c r="O809" s="5"/>
      <c r="P809" s="5"/>
      <c r="W809" s="7"/>
      <c r="X809" s="7"/>
      <c r="Y809" s="7"/>
      <c r="Z809" s="7"/>
      <c r="AA809" s="7"/>
    </row>
    <row r="810">
      <c r="B810" s="2"/>
      <c r="M810" s="5"/>
      <c r="N810" s="6"/>
      <c r="O810" s="5"/>
      <c r="P810" s="5"/>
      <c r="W810" s="7"/>
      <c r="X810" s="7"/>
      <c r="Y810" s="7"/>
      <c r="Z810" s="7"/>
      <c r="AA810" s="7"/>
    </row>
    <row r="811">
      <c r="B811" s="2"/>
      <c r="M811" s="5"/>
      <c r="N811" s="6"/>
      <c r="O811" s="5"/>
      <c r="P811" s="5"/>
      <c r="W811" s="7"/>
      <c r="X811" s="7"/>
      <c r="Y811" s="7"/>
      <c r="Z811" s="7"/>
      <c r="AA811" s="7"/>
    </row>
    <row r="812">
      <c r="B812" s="2"/>
      <c r="M812" s="5"/>
      <c r="N812" s="6"/>
      <c r="O812" s="5"/>
      <c r="P812" s="5"/>
      <c r="W812" s="7"/>
      <c r="X812" s="7"/>
      <c r="Y812" s="7"/>
      <c r="Z812" s="7"/>
      <c r="AA812" s="7"/>
    </row>
    <row r="813">
      <c r="B813" s="2"/>
      <c r="M813" s="5"/>
      <c r="N813" s="6"/>
      <c r="O813" s="5"/>
      <c r="P813" s="5"/>
      <c r="W813" s="7"/>
      <c r="X813" s="7"/>
      <c r="Y813" s="7"/>
      <c r="Z813" s="7"/>
      <c r="AA813" s="7"/>
    </row>
    <row r="814">
      <c r="B814" s="2"/>
      <c r="M814" s="5"/>
      <c r="N814" s="6"/>
      <c r="O814" s="5"/>
      <c r="P814" s="5"/>
      <c r="W814" s="7"/>
      <c r="X814" s="7"/>
      <c r="Y814" s="7"/>
      <c r="Z814" s="7"/>
      <c r="AA814" s="7"/>
    </row>
    <row r="815">
      <c r="B815" s="2"/>
      <c r="M815" s="5"/>
      <c r="N815" s="6"/>
      <c r="O815" s="5"/>
      <c r="P815" s="5"/>
      <c r="W815" s="7"/>
      <c r="X815" s="7"/>
      <c r="Y815" s="7"/>
      <c r="Z815" s="7"/>
      <c r="AA815" s="7"/>
    </row>
    <row r="816">
      <c r="B816" s="2"/>
      <c r="M816" s="5"/>
      <c r="N816" s="6"/>
      <c r="O816" s="5"/>
      <c r="P816" s="5"/>
      <c r="W816" s="7"/>
      <c r="X816" s="7"/>
      <c r="Y816" s="7"/>
      <c r="Z816" s="7"/>
      <c r="AA816" s="7"/>
    </row>
    <row r="817">
      <c r="B817" s="2"/>
      <c r="M817" s="5"/>
      <c r="N817" s="6"/>
      <c r="O817" s="5"/>
      <c r="P817" s="5"/>
      <c r="W817" s="7"/>
      <c r="X817" s="7"/>
      <c r="Y817" s="7"/>
      <c r="Z817" s="7"/>
      <c r="AA817" s="7"/>
    </row>
    <row r="818">
      <c r="B818" s="2"/>
      <c r="M818" s="5"/>
      <c r="N818" s="6"/>
      <c r="O818" s="5"/>
      <c r="P818" s="5"/>
      <c r="W818" s="7"/>
      <c r="X818" s="7"/>
      <c r="Y818" s="7"/>
      <c r="Z818" s="7"/>
      <c r="AA818" s="7"/>
    </row>
    <row r="819">
      <c r="B819" s="2"/>
      <c r="M819" s="5"/>
      <c r="N819" s="6"/>
      <c r="O819" s="5"/>
      <c r="P819" s="5"/>
      <c r="W819" s="7"/>
      <c r="X819" s="7"/>
      <c r="Y819" s="7"/>
      <c r="Z819" s="7"/>
      <c r="AA819" s="7"/>
    </row>
    <row r="820">
      <c r="B820" s="2"/>
      <c r="M820" s="5"/>
      <c r="N820" s="6"/>
      <c r="O820" s="5"/>
      <c r="P820" s="5"/>
      <c r="W820" s="7"/>
      <c r="X820" s="7"/>
      <c r="Y820" s="7"/>
      <c r="Z820" s="7"/>
      <c r="AA820" s="7"/>
    </row>
    <row r="821">
      <c r="B821" s="2"/>
      <c r="M821" s="5"/>
      <c r="N821" s="6"/>
      <c r="O821" s="5"/>
      <c r="P821" s="5"/>
      <c r="W821" s="7"/>
      <c r="X821" s="7"/>
      <c r="Y821" s="7"/>
      <c r="Z821" s="7"/>
      <c r="AA821" s="7"/>
    </row>
    <row r="822">
      <c r="B822" s="2"/>
      <c r="M822" s="5"/>
      <c r="N822" s="6"/>
      <c r="O822" s="5"/>
      <c r="P822" s="5"/>
      <c r="W822" s="7"/>
      <c r="X822" s="7"/>
      <c r="Y822" s="7"/>
      <c r="Z822" s="7"/>
      <c r="AA822" s="7"/>
    </row>
    <row r="823">
      <c r="B823" s="2"/>
      <c r="M823" s="5"/>
      <c r="N823" s="6"/>
      <c r="O823" s="5"/>
      <c r="P823" s="5"/>
      <c r="W823" s="7"/>
      <c r="X823" s="7"/>
      <c r="Y823" s="7"/>
      <c r="Z823" s="7"/>
      <c r="AA823" s="7"/>
    </row>
    <row r="824">
      <c r="B824" s="2"/>
      <c r="M824" s="5"/>
      <c r="N824" s="6"/>
      <c r="O824" s="5"/>
      <c r="P824" s="5"/>
      <c r="W824" s="7"/>
      <c r="X824" s="7"/>
      <c r="Y824" s="7"/>
      <c r="Z824" s="7"/>
      <c r="AA824" s="7"/>
    </row>
    <row r="825">
      <c r="B825" s="2"/>
      <c r="M825" s="5"/>
      <c r="N825" s="6"/>
      <c r="O825" s="5"/>
      <c r="P825" s="5"/>
      <c r="W825" s="7"/>
      <c r="X825" s="7"/>
      <c r="Y825" s="7"/>
      <c r="Z825" s="7"/>
      <c r="AA825" s="7"/>
    </row>
    <row r="826">
      <c r="B826" s="2"/>
      <c r="M826" s="5"/>
      <c r="N826" s="6"/>
      <c r="O826" s="5"/>
      <c r="P826" s="5"/>
      <c r="W826" s="7"/>
      <c r="X826" s="7"/>
      <c r="Y826" s="7"/>
      <c r="Z826" s="7"/>
      <c r="AA826" s="7"/>
    </row>
    <row r="827">
      <c r="B827" s="2"/>
      <c r="M827" s="5"/>
      <c r="N827" s="6"/>
      <c r="O827" s="5"/>
      <c r="P827" s="5"/>
      <c r="W827" s="7"/>
      <c r="X827" s="7"/>
      <c r="Y827" s="7"/>
      <c r="Z827" s="7"/>
      <c r="AA827" s="7"/>
    </row>
    <row r="828">
      <c r="B828" s="2"/>
      <c r="M828" s="5"/>
      <c r="N828" s="6"/>
      <c r="O828" s="5"/>
      <c r="P828" s="5"/>
      <c r="W828" s="7"/>
      <c r="X828" s="7"/>
      <c r="Y828" s="7"/>
      <c r="Z828" s="7"/>
      <c r="AA828" s="7"/>
    </row>
    <row r="829">
      <c r="B829" s="2"/>
      <c r="M829" s="5"/>
      <c r="N829" s="6"/>
      <c r="O829" s="5"/>
      <c r="P829" s="5"/>
      <c r="W829" s="7"/>
      <c r="X829" s="7"/>
      <c r="Y829" s="7"/>
      <c r="Z829" s="7"/>
      <c r="AA829" s="7"/>
    </row>
    <row r="830">
      <c r="B830" s="2"/>
      <c r="M830" s="5"/>
      <c r="N830" s="6"/>
      <c r="O830" s="5"/>
      <c r="P830" s="5"/>
      <c r="W830" s="7"/>
      <c r="X830" s="7"/>
      <c r="Y830" s="7"/>
      <c r="Z830" s="7"/>
      <c r="AA830" s="7"/>
    </row>
    <row r="831">
      <c r="B831" s="2"/>
      <c r="M831" s="5"/>
      <c r="N831" s="6"/>
      <c r="O831" s="5"/>
      <c r="P831" s="5"/>
      <c r="W831" s="7"/>
      <c r="X831" s="7"/>
      <c r="Y831" s="7"/>
      <c r="Z831" s="7"/>
      <c r="AA831" s="7"/>
    </row>
    <row r="832">
      <c r="B832" s="2"/>
      <c r="M832" s="5"/>
      <c r="N832" s="6"/>
      <c r="O832" s="5"/>
      <c r="P832" s="5"/>
      <c r="W832" s="7"/>
      <c r="X832" s="7"/>
      <c r="Y832" s="7"/>
      <c r="Z832" s="7"/>
      <c r="AA832" s="7"/>
    </row>
    <row r="833">
      <c r="B833" s="2"/>
      <c r="M833" s="5"/>
      <c r="N833" s="6"/>
      <c r="O833" s="5"/>
      <c r="P833" s="5"/>
      <c r="W833" s="7"/>
      <c r="X833" s="7"/>
      <c r="Y833" s="7"/>
      <c r="Z833" s="7"/>
      <c r="AA833" s="7"/>
    </row>
    <row r="834">
      <c r="B834" s="2"/>
      <c r="M834" s="5"/>
      <c r="N834" s="6"/>
      <c r="O834" s="5"/>
      <c r="P834" s="5"/>
      <c r="W834" s="7"/>
      <c r="X834" s="7"/>
      <c r="Y834" s="7"/>
      <c r="Z834" s="7"/>
      <c r="AA834" s="7"/>
    </row>
    <row r="835">
      <c r="B835" s="2"/>
      <c r="M835" s="5"/>
      <c r="N835" s="6"/>
      <c r="O835" s="5"/>
      <c r="P835" s="5"/>
      <c r="W835" s="7"/>
      <c r="X835" s="7"/>
      <c r="Y835" s="7"/>
      <c r="Z835" s="7"/>
      <c r="AA835" s="7"/>
    </row>
    <row r="836">
      <c r="B836" s="2"/>
      <c r="M836" s="5"/>
      <c r="N836" s="6"/>
      <c r="O836" s="5"/>
      <c r="P836" s="5"/>
      <c r="W836" s="7"/>
      <c r="X836" s="7"/>
      <c r="Y836" s="7"/>
      <c r="Z836" s="7"/>
      <c r="AA836" s="7"/>
    </row>
    <row r="837">
      <c r="B837" s="2"/>
      <c r="M837" s="5"/>
      <c r="N837" s="6"/>
      <c r="O837" s="5"/>
      <c r="P837" s="5"/>
      <c r="W837" s="7"/>
      <c r="X837" s="7"/>
      <c r="Y837" s="7"/>
      <c r="Z837" s="7"/>
      <c r="AA837" s="7"/>
    </row>
    <row r="838">
      <c r="B838" s="2"/>
      <c r="M838" s="5"/>
      <c r="N838" s="6"/>
      <c r="O838" s="5"/>
      <c r="P838" s="5"/>
      <c r="W838" s="7"/>
      <c r="X838" s="7"/>
      <c r="Y838" s="7"/>
      <c r="Z838" s="7"/>
      <c r="AA838" s="7"/>
    </row>
    <row r="839">
      <c r="B839" s="2"/>
      <c r="M839" s="5"/>
      <c r="N839" s="6"/>
      <c r="O839" s="5"/>
      <c r="P839" s="5"/>
      <c r="W839" s="7"/>
      <c r="X839" s="7"/>
      <c r="Y839" s="7"/>
      <c r="Z839" s="7"/>
      <c r="AA839" s="7"/>
    </row>
    <row r="840">
      <c r="B840" s="2"/>
      <c r="M840" s="5"/>
      <c r="N840" s="6"/>
      <c r="O840" s="5"/>
      <c r="P840" s="5"/>
      <c r="W840" s="7"/>
      <c r="X840" s="7"/>
      <c r="Y840" s="7"/>
      <c r="Z840" s="7"/>
      <c r="AA840" s="7"/>
    </row>
    <row r="841">
      <c r="B841" s="2"/>
      <c r="M841" s="5"/>
      <c r="N841" s="6"/>
      <c r="O841" s="5"/>
      <c r="P841" s="5"/>
      <c r="W841" s="7"/>
      <c r="X841" s="7"/>
      <c r="Y841" s="7"/>
      <c r="Z841" s="7"/>
      <c r="AA841" s="7"/>
    </row>
    <row r="842">
      <c r="B842" s="2"/>
      <c r="M842" s="5"/>
      <c r="N842" s="6"/>
      <c r="O842" s="5"/>
      <c r="P842" s="5"/>
      <c r="W842" s="7"/>
      <c r="X842" s="7"/>
      <c r="Y842" s="7"/>
      <c r="Z842" s="7"/>
      <c r="AA842" s="7"/>
    </row>
    <row r="843">
      <c r="B843" s="2"/>
      <c r="M843" s="5"/>
      <c r="N843" s="6"/>
      <c r="O843" s="5"/>
      <c r="P843" s="5"/>
      <c r="W843" s="7"/>
      <c r="X843" s="7"/>
      <c r="Y843" s="7"/>
      <c r="Z843" s="7"/>
      <c r="AA843" s="7"/>
    </row>
    <row r="844">
      <c r="B844" s="2"/>
      <c r="M844" s="5"/>
      <c r="N844" s="6"/>
      <c r="O844" s="5"/>
      <c r="P844" s="5"/>
      <c r="W844" s="7"/>
      <c r="X844" s="7"/>
      <c r="Y844" s="7"/>
      <c r="Z844" s="7"/>
      <c r="AA844" s="7"/>
    </row>
    <row r="845">
      <c r="B845" s="2"/>
      <c r="M845" s="5"/>
      <c r="N845" s="6"/>
      <c r="O845" s="5"/>
      <c r="P845" s="5"/>
      <c r="W845" s="7"/>
      <c r="X845" s="7"/>
      <c r="Y845" s="7"/>
      <c r="Z845" s="7"/>
      <c r="AA845" s="7"/>
    </row>
    <row r="846">
      <c r="B846" s="2"/>
      <c r="M846" s="5"/>
      <c r="N846" s="6"/>
      <c r="O846" s="5"/>
      <c r="P846" s="5"/>
      <c r="W846" s="7"/>
      <c r="X846" s="7"/>
      <c r="Y846" s="7"/>
      <c r="Z846" s="7"/>
      <c r="AA846" s="7"/>
    </row>
    <row r="847">
      <c r="B847" s="2"/>
      <c r="M847" s="5"/>
      <c r="N847" s="6"/>
      <c r="O847" s="5"/>
      <c r="P847" s="5"/>
      <c r="W847" s="7"/>
      <c r="X847" s="7"/>
      <c r="Y847" s="7"/>
      <c r="Z847" s="7"/>
      <c r="AA847" s="7"/>
    </row>
    <row r="848">
      <c r="B848" s="2"/>
      <c r="M848" s="5"/>
      <c r="N848" s="6"/>
      <c r="O848" s="5"/>
      <c r="P848" s="5"/>
      <c r="W848" s="7"/>
      <c r="X848" s="7"/>
      <c r="Y848" s="7"/>
      <c r="Z848" s="7"/>
      <c r="AA848" s="7"/>
    </row>
    <row r="849">
      <c r="B849" s="2"/>
      <c r="M849" s="5"/>
      <c r="N849" s="6"/>
      <c r="O849" s="5"/>
      <c r="P849" s="5"/>
      <c r="W849" s="7"/>
      <c r="X849" s="7"/>
      <c r="Y849" s="7"/>
      <c r="Z849" s="7"/>
      <c r="AA849" s="7"/>
    </row>
    <row r="850">
      <c r="B850" s="2"/>
      <c r="M850" s="5"/>
      <c r="N850" s="6"/>
      <c r="O850" s="5"/>
      <c r="P850" s="5"/>
      <c r="W850" s="7"/>
      <c r="X850" s="7"/>
      <c r="Y850" s="7"/>
      <c r="Z850" s="7"/>
      <c r="AA850" s="7"/>
    </row>
    <row r="851">
      <c r="B851" s="2"/>
      <c r="M851" s="5"/>
      <c r="N851" s="6"/>
      <c r="O851" s="5"/>
      <c r="P851" s="5"/>
      <c r="W851" s="7"/>
      <c r="X851" s="7"/>
      <c r="Y851" s="7"/>
      <c r="Z851" s="7"/>
      <c r="AA851" s="7"/>
    </row>
    <row r="852">
      <c r="B852" s="2"/>
      <c r="M852" s="5"/>
      <c r="N852" s="6"/>
      <c r="O852" s="5"/>
      <c r="P852" s="5"/>
      <c r="W852" s="7"/>
      <c r="X852" s="7"/>
      <c r="Y852" s="7"/>
      <c r="Z852" s="7"/>
      <c r="AA852" s="7"/>
    </row>
    <row r="853">
      <c r="B853" s="2"/>
      <c r="M853" s="5"/>
      <c r="N853" s="6"/>
      <c r="O853" s="5"/>
      <c r="P853" s="5"/>
      <c r="W853" s="7"/>
      <c r="X853" s="7"/>
      <c r="Y853" s="7"/>
      <c r="Z853" s="7"/>
      <c r="AA853" s="7"/>
    </row>
    <row r="854">
      <c r="B854" s="2"/>
      <c r="M854" s="5"/>
      <c r="N854" s="6"/>
      <c r="O854" s="5"/>
      <c r="P854" s="5"/>
      <c r="W854" s="7"/>
      <c r="X854" s="7"/>
      <c r="Y854" s="7"/>
      <c r="Z854" s="7"/>
      <c r="AA854" s="7"/>
    </row>
    <row r="855">
      <c r="B855" s="2"/>
      <c r="M855" s="5"/>
      <c r="N855" s="6"/>
      <c r="O855" s="5"/>
      <c r="P855" s="5"/>
      <c r="W855" s="7"/>
      <c r="X855" s="7"/>
      <c r="Y855" s="7"/>
      <c r="Z855" s="7"/>
      <c r="AA855" s="7"/>
    </row>
    <row r="856">
      <c r="B856" s="2"/>
      <c r="M856" s="5"/>
      <c r="N856" s="6"/>
      <c r="O856" s="5"/>
      <c r="P856" s="5"/>
      <c r="W856" s="7"/>
      <c r="X856" s="7"/>
      <c r="Y856" s="7"/>
      <c r="Z856" s="7"/>
      <c r="AA856" s="7"/>
    </row>
    <row r="857">
      <c r="B857" s="2"/>
      <c r="M857" s="5"/>
      <c r="N857" s="6"/>
      <c r="O857" s="5"/>
      <c r="P857" s="5"/>
      <c r="W857" s="7"/>
      <c r="X857" s="7"/>
      <c r="Y857" s="7"/>
      <c r="Z857" s="7"/>
      <c r="AA857" s="7"/>
    </row>
    <row r="858">
      <c r="B858" s="2"/>
      <c r="M858" s="5"/>
      <c r="N858" s="6"/>
      <c r="O858" s="5"/>
      <c r="P858" s="5"/>
      <c r="W858" s="7"/>
      <c r="X858" s="7"/>
      <c r="Y858" s="7"/>
      <c r="Z858" s="7"/>
      <c r="AA858" s="7"/>
    </row>
    <row r="859">
      <c r="B859" s="2"/>
      <c r="M859" s="5"/>
      <c r="N859" s="6"/>
      <c r="O859" s="5"/>
      <c r="P859" s="5"/>
      <c r="W859" s="7"/>
      <c r="X859" s="7"/>
      <c r="Y859" s="7"/>
      <c r="Z859" s="7"/>
      <c r="AA859" s="7"/>
    </row>
    <row r="860">
      <c r="B860" s="2"/>
      <c r="M860" s="5"/>
      <c r="N860" s="6"/>
      <c r="O860" s="5"/>
      <c r="P860" s="5"/>
      <c r="W860" s="7"/>
      <c r="X860" s="7"/>
      <c r="Y860" s="7"/>
      <c r="Z860" s="7"/>
      <c r="AA860" s="7"/>
    </row>
    <row r="861">
      <c r="B861" s="2"/>
      <c r="M861" s="5"/>
      <c r="N861" s="6"/>
      <c r="O861" s="5"/>
      <c r="P861" s="5"/>
      <c r="W861" s="7"/>
      <c r="X861" s="7"/>
      <c r="Y861" s="7"/>
      <c r="Z861" s="7"/>
      <c r="AA861" s="7"/>
    </row>
    <row r="862">
      <c r="B862" s="2"/>
      <c r="M862" s="5"/>
      <c r="N862" s="6"/>
      <c r="O862" s="5"/>
      <c r="P862" s="5"/>
      <c r="W862" s="7"/>
      <c r="X862" s="7"/>
      <c r="Y862" s="7"/>
      <c r="Z862" s="7"/>
      <c r="AA862" s="7"/>
    </row>
    <row r="863">
      <c r="B863" s="2"/>
      <c r="M863" s="5"/>
      <c r="N863" s="6"/>
      <c r="O863" s="5"/>
      <c r="P863" s="5"/>
      <c r="W863" s="7"/>
      <c r="X863" s="7"/>
      <c r="Y863" s="7"/>
      <c r="Z863" s="7"/>
      <c r="AA863" s="7"/>
    </row>
    <row r="864">
      <c r="B864" s="2"/>
      <c r="M864" s="5"/>
      <c r="N864" s="6"/>
      <c r="O864" s="5"/>
      <c r="P864" s="5"/>
      <c r="W864" s="7"/>
      <c r="X864" s="7"/>
      <c r="Y864" s="7"/>
      <c r="Z864" s="7"/>
      <c r="AA864" s="7"/>
    </row>
    <row r="865">
      <c r="B865" s="2"/>
      <c r="M865" s="5"/>
      <c r="N865" s="6"/>
      <c r="O865" s="5"/>
      <c r="P865" s="5"/>
      <c r="W865" s="7"/>
      <c r="X865" s="7"/>
      <c r="Y865" s="7"/>
      <c r="Z865" s="7"/>
      <c r="AA865" s="7"/>
    </row>
    <row r="866">
      <c r="B866" s="2"/>
      <c r="M866" s="5"/>
      <c r="N866" s="6"/>
      <c r="O866" s="5"/>
      <c r="P866" s="5"/>
      <c r="W866" s="7"/>
      <c r="X866" s="7"/>
      <c r="Y866" s="7"/>
      <c r="Z866" s="7"/>
      <c r="AA866" s="7"/>
    </row>
    <row r="867">
      <c r="B867" s="2"/>
      <c r="M867" s="5"/>
      <c r="N867" s="6"/>
      <c r="O867" s="5"/>
      <c r="P867" s="5"/>
      <c r="W867" s="7"/>
      <c r="X867" s="7"/>
      <c r="Y867" s="7"/>
      <c r="Z867" s="7"/>
      <c r="AA867" s="7"/>
    </row>
    <row r="868">
      <c r="B868" s="2"/>
      <c r="M868" s="5"/>
      <c r="N868" s="6"/>
      <c r="O868" s="5"/>
      <c r="P868" s="5"/>
      <c r="W868" s="7"/>
      <c r="X868" s="7"/>
      <c r="Y868" s="7"/>
      <c r="Z868" s="7"/>
      <c r="AA868" s="7"/>
    </row>
    <row r="869">
      <c r="B869" s="2"/>
      <c r="M869" s="5"/>
      <c r="N869" s="6"/>
      <c r="O869" s="5"/>
      <c r="P869" s="5"/>
      <c r="W869" s="7"/>
      <c r="X869" s="7"/>
      <c r="Y869" s="7"/>
      <c r="Z869" s="7"/>
      <c r="AA869" s="7"/>
    </row>
    <row r="870">
      <c r="B870" s="2"/>
      <c r="M870" s="5"/>
      <c r="N870" s="6"/>
      <c r="O870" s="5"/>
      <c r="P870" s="5"/>
      <c r="W870" s="7"/>
      <c r="X870" s="7"/>
      <c r="Y870" s="7"/>
      <c r="Z870" s="7"/>
      <c r="AA870" s="7"/>
    </row>
    <row r="871">
      <c r="B871" s="2"/>
      <c r="M871" s="5"/>
      <c r="N871" s="6"/>
      <c r="O871" s="5"/>
      <c r="P871" s="5"/>
      <c r="W871" s="7"/>
      <c r="X871" s="7"/>
      <c r="Y871" s="7"/>
      <c r="Z871" s="7"/>
      <c r="AA871" s="7"/>
    </row>
    <row r="872">
      <c r="B872" s="2"/>
      <c r="M872" s="5"/>
      <c r="N872" s="6"/>
      <c r="O872" s="5"/>
      <c r="P872" s="5"/>
      <c r="W872" s="7"/>
      <c r="X872" s="7"/>
      <c r="Y872" s="7"/>
      <c r="Z872" s="7"/>
      <c r="AA872" s="7"/>
    </row>
    <row r="873">
      <c r="B873" s="2"/>
      <c r="M873" s="5"/>
      <c r="N873" s="6"/>
      <c r="O873" s="5"/>
      <c r="P873" s="5"/>
      <c r="W873" s="7"/>
      <c r="X873" s="7"/>
      <c r="Y873" s="7"/>
      <c r="Z873" s="7"/>
      <c r="AA873" s="7"/>
    </row>
    <row r="874">
      <c r="B874" s="2"/>
      <c r="M874" s="5"/>
      <c r="N874" s="6"/>
      <c r="O874" s="5"/>
      <c r="P874" s="5"/>
      <c r="W874" s="7"/>
      <c r="X874" s="7"/>
      <c r="Y874" s="7"/>
      <c r="Z874" s="7"/>
      <c r="AA874" s="7"/>
    </row>
    <row r="875">
      <c r="B875" s="2"/>
      <c r="M875" s="5"/>
      <c r="N875" s="6"/>
      <c r="O875" s="5"/>
      <c r="P875" s="5"/>
      <c r="W875" s="7"/>
      <c r="X875" s="7"/>
      <c r="Y875" s="7"/>
      <c r="Z875" s="7"/>
      <c r="AA875" s="7"/>
    </row>
    <row r="876">
      <c r="B876" s="2"/>
      <c r="M876" s="5"/>
      <c r="N876" s="6"/>
      <c r="O876" s="5"/>
      <c r="P876" s="5"/>
      <c r="W876" s="7"/>
      <c r="X876" s="7"/>
      <c r="Y876" s="7"/>
      <c r="Z876" s="7"/>
      <c r="AA876" s="7"/>
    </row>
    <row r="877">
      <c r="B877" s="2"/>
      <c r="M877" s="5"/>
      <c r="N877" s="6"/>
      <c r="O877" s="5"/>
      <c r="P877" s="5"/>
      <c r="W877" s="7"/>
      <c r="X877" s="7"/>
      <c r="Y877" s="7"/>
      <c r="Z877" s="7"/>
      <c r="AA877" s="7"/>
    </row>
    <row r="878">
      <c r="B878" s="2"/>
      <c r="M878" s="5"/>
      <c r="N878" s="6"/>
      <c r="O878" s="5"/>
      <c r="P878" s="5"/>
      <c r="W878" s="7"/>
      <c r="X878" s="7"/>
      <c r="Y878" s="7"/>
      <c r="Z878" s="7"/>
      <c r="AA878" s="7"/>
    </row>
    <row r="879">
      <c r="B879" s="2"/>
      <c r="M879" s="5"/>
      <c r="N879" s="6"/>
      <c r="O879" s="5"/>
      <c r="P879" s="5"/>
      <c r="W879" s="7"/>
      <c r="X879" s="7"/>
      <c r="Y879" s="7"/>
      <c r="Z879" s="7"/>
      <c r="AA879" s="7"/>
    </row>
    <row r="880">
      <c r="B880" s="2"/>
      <c r="M880" s="5"/>
      <c r="N880" s="6"/>
      <c r="O880" s="5"/>
      <c r="P880" s="5"/>
      <c r="W880" s="7"/>
      <c r="X880" s="7"/>
      <c r="Y880" s="7"/>
      <c r="Z880" s="7"/>
      <c r="AA880" s="7"/>
    </row>
    <row r="881">
      <c r="B881" s="2"/>
      <c r="M881" s="5"/>
      <c r="N881" s="6"/>
      <c r="O881" s="5"/>
      <c r="P881" s="5"/>
      <c r="W881" s="7"/>
      <c r="X881" s="7"/>
      <c r="Y881" s="7"/>
      <c r="Z881" s="7"/>
      <c r="AA881" s="7"/>
    </row>
    <row r="882">
      <c r="B882" s="2"/>
      <c r="M882" s="5"/>
      <c r="N882" s="6"/>
      <c r="O882" s="5"/>
      <c r="P882" s="5"/>
      <c r="W882" s="7"/>
      <c r="X882" s="7"/>
      <c r="Y882" s="7"/>
      <c r="Z882" s="7"/>
      <c r="AA882" s="7"/>
    </row>
    <row r="883">
      <c r="B883" s="2"/>
      <c r="M883" s="5"/>
      <c r="N883" s="6"/>
      <c r="O883" s="5"/>
      <c r="P883" s="5"/>
      <c r="W883" s="7"/>
      <c r="X883" s="7"/>
      <c r="Y883" s="7"/>
      <c r="Z883" s="7"/>
      <c r="AA883" s="7"/>
    </row>
    <row r="884">
      <c r="B884" s="2"/>
      <c r="M884" s="5"/>
      <c r="N884" s="6"/>
      <c r="O884" s="5"/>
      <c r="P884" s="5"/>
      <c r="W884" s="7"/>
      <c r="X884" s="7"/>
      <c r="Y884" s="7"/>
      <c r="Z884" s="7"/>
      <c r="AA884" s="7"/>
    </row>
    <row r="885">
      <c r="B885" s="2"/>
      <c r="M885" s="5"/>
      <c r="N885" s="6"/>
      <c r="O885" s="5"/>
      <c r="P885" s="5"/>
      <c r="W885" s="7"/>
      <c r="X885" s="7"/>
      <c r="Y885" s="7"/>
      <c r="Z885" s="7"/>
      <c r="AA885" s="7"/>
    </row>
    <row r="886">
      <c r="B886" s="2"/>
      <c r="M886" s="5"/>
      <c r="N886" s="6"/>
      <c r="O886" s="5"/>
      <c r="P886" s="5"/>
      <c r="W886" s="7"/>
      <c r="X886" s="7"/>
      <c r="Y886" s="7"/>
      <c r="Z886" s="7"/>
      <c r="AA886" s="7"/>
    </row>
    <row r="887">
      <c r="B887" s="2"/>
      <c r="M887" s="5"/>
      <c r="N887" s="6"/>
      <c r="O887" s="5"/>
      <c r="P887" s="5"/>
      <c r="W887" s="7"/>
      <c r="X887" s="7"/>
      <c r="Y887" s="7"/>
      <c r="Z887" s="7"/>
      <c r="AA887" s="7"/>
    </row>
    <row r="888">
      <c r="B888" s="2"/>
      <c r="M888" s="5"/>
      <c r="N888" s="6"/>
      <c r="O888" s="5"/>
      <c r="P888" s="5"/>
      <c r="W888" s="7"/>
      <c r="X888" s="7"/>
      <c r="Y888" s="7"/>
      <c r="Z888" s="7"/>
      <c r="AA888" s="7"/>
    </row>
    <row r="889">
      <c r="B889" s="2"/>
      <c r="M889" s="5"/>
      <c r="N889" s="6"/>
      <c r="O889" s="5"/>
      <c r="P889" s="5"/>
      <c r="W889" s="7"/>
      <c r="X889" s="7"/>
      <c r="Y889" s="7"/>
      <c r="Z889" s="7"/>
      <c r="AA889" s="7"/>
    </row>
    <row r="890">
      <c r="B890" s="2"/>
      <c r="M890" s="5"/>
      <c r="N890" s="6"/>
      <c r="O890" s="5"/>
      <c r="P890" s="5"/>
      <c r="W890" s="7"/>
      <c r="X890" s="7"/>
      <c r="Y890" s="7"/>
      <c r="Z890" s="7"/>
      <c r="AA890" s="7"/>
    </row>
    <row r="891">
      <c r="B891" s="2"/>
      <c r="M891" s="5"/>
      <c r="N891" s="6"/>
      <c r="O891" s="5"/>
      <c r="P891" s="5"/>
      <c r="W891" s="7"/>
      <c r="X891" s="7"/>
      <c r="Y891" s="7"/>
      <c r="Z891" s="7"/>
      <c r="AA891" s="7"/>
    </row>
    <row r="892">
      <c r="B892" s="2"/>
      <c r="M892" s="5"/>
      <c r="N892" s="6"/>
      <c r="O892" s="5"/>
      <c r="P892" s="5"/>
      <c r="W892" s="7"/>
      <c r="X892" s="7"/>
      <c r="Y892" s="7"/>
      <c r="Z892" s="7"/>
      <c r="AA892" s="7"/>
    </row>
    <row r="893">
      <c r="B893" s="2"/>
      <c r="M893" s="5"/>
      <c r="N893" s="6"/>
      <c r="O893" s="5"/>
      <c r="P893" s="5"/>
      <c r="W893" s="7"/>
      <c r="X893" s="7"/>
      <c r="Y893" s="7"/>
      <c r="Z893" s="7"/>
      <c r="AA893" s="7"/>
    </row>
    <row r="894">
      <c r="B894" s="2"/>
      <c r="M894" s="5"/>
      <c r="N894" s="6"/>
      <c r="O894" s="5"/>
      <c r="P894" s="5"/>
      <c r="W894" s="7"/>
      <c r="X894" s="7"/>
      <c r="Y894" s="7"/>
      <c r="Z894" s="7"/>
      <c r="AA894" s="7"/>
    </row>
    <row r="895">
      <c r="B895" s="2"/>
      <c r="M895" s="5"/>
      <c r="N895" s="6"/>
      <c r="O895" s="5"/>
      <c r="P895" s="5"/>
      <c r="W895" s="7"/>
      <c r="X895" s="7"/>
      <c r="Y895" s="7"/>
      <c r="Z895" s="7"/>
      <c r="AA895" s="7"/>
    </row>
    <row r="896">
      <c r="B896" s="2"/>
      <c r="M896" s="5"/>
      <c r="N896" s="6"/>
      <c r="O896" s="5"/>
      <c r="P896" s="5"/>
      <c r="W896" s="7"/>
      <c r="X896" s="7"/>
      <c r="Y896" s="7"/>
      <c r="Z896" s="7"/>
      <c r="AA896" s="7"/>
    </row>
    <row r="897">
      <c r="B897" s="2"/>
      <c r="M897" s="5"/>
      <c r="N897" s="6"/>
      <c r="O897" s="5"/>
      <c r="P897" s="5"/>
      <c r="W897" s="7"/>
      <c r="X897" s="7"/>
      <c r="Y897" s="7"/>
      <c r="Z897" s="7"/>
      <c r="AA897" s="7"/>
    </row>
    <row r="898">
      <c r="B898" s="2"/>
      <c r="M898" s="5"/>
      <c r="N898" s="6"/>
      <c r="O898" s="5"/>
      <c r="P898" s="5"/>
      <c r="W898" s="7"/>
      <c r="X898" s="7"/>
      <c r="Y898" s="7"/>
      <c r="Z898" s="7"/>
      <c r="AA898" s="7"/>
    </row>
    <row r="899">
      <c r="B899" s="2"/>
      <c r="M899" s="5"/>
      <c r="N899" s="6"/>
      <c r="O899" s="5"/>
      <c r="P899" s="5"/>
      <c r="W899" s="7"/>
      <c r="X899" s="7"/>
      <c r="Y899" s="7"/>
      <c r="Z899" s="7"/>
      <c r="AA899" s="7"/>
    </row>
    <row r="900">
      <c r="B900" s="2"/>
      <c r="M900" s="5"/>
      <c r="N900" s="6"/>
      <c r="O900" s="5"/>
      <c r="P900" s="5"/>
      <c r="W900" s="7"/>
      <c r="X900" s="7"/>
      <c r="Y900" s="7"/>
      <c r="Z900" s="7"/>
      <c r="AA900" s="7"/>
    </row>
    <row r="901">
      <c r="B901" s="2"/>
      <c r="M901" s="5"/>
      <c r="N901" s="6"/>
      <c r="O901" s="5"/>
      <c r="P901" s="5"/>
      <c r="W901" s="7"/>
      <c r="X901" s="7"/>
      <c r="Y901" s="7"/>
      <c r="Z901" s="7"/>
      <c r="AA901" s="7"/>
    </row>
    <row r="902">
      <c r="B902" s="2"/>
      <c r="M902" s="5"/>
      <c r="N902" s="6"/>
      <c r="O902" s="5"/>
      <c r="P902" s="5"/>
      <c r="W902" s="7"/>
      <c r="X902" s="7"/>
      <c r="Y902" s="7"/>
      <c r="Z902" s="7"/>
      <c r="AA902" s="7"/>
    </row>
    <row r="903">
      <c r="B903" s="2"/>
      <c r="M903" s="5"/>
      <c r="N903" s="6"/>
      <c r="O903" s="5"/>
      <c r="P903" s="5"/>
      <c r="W903" s="7"/>
      <c r="X903" s="7"/>
      <c r="Y903" s="7"/>
      <c r="Z903" s="7"/>
      <c r="AA903" s="7"/>
    </row>
    <row r="904">
      <c r="B904" s="2"/>
      <c r="M904" s="5"/>
      <c r="N904" s="6"/>
      <c r="O904" s="5"/>
      <c r="P904" s="5"/>
      <c r="W904" s="7"/>
      <c r="X904" s="7"/>
      <c r="Y904" s="7"/>
      <c r="Z904" s="7"/>
      <c r="AA904" s="7"/>
    </row>
    <row r="905">
      <c r="B905" s="2"/>
      <c r="M905" s="5"/>
      <c r="N905" s="6"/>
      <c r="O905" s="5"/>
      <c r="P905" s="5"/>
      <c r="W905" s="7"/>
      <c r="X905" s="7"/>
      <c r="Y905" s="7"/>
      <c r="Z905" s="7"/>
      <c r="AA905" s="7"/>
    </row>
    <row r="906">
      <c r="B906" s="2"/>
      <c r="M906" s="5"/>
      <c r="N906" s="6"/>
      <c r="O906" s="5"/>
      <c r="P906" s="5"/>
      <c r="W906" s="7"/>
      <c r="X906" s="7"/>
      <c r="Y906" s="7"/>
      <c r="Z906" s="7"/>
      <c r="AA906" s="7"/>
    </row>
    <row r="907">
      <c r="B907" s="2"/>
      <c r="M907" s="5"/>
      <c r="N907" s="6"/>
      <c r="O907" s="5"/>
      <c r="P907" s="5"/>
      <c r="W907" s="7"/>
      <c r="X907" s="7"/>
      <c r="Y907" s="7"/>
      <c r="Z907" s="7"/>
      <c r="AA907" s="7"/>
    </row>
    <row r="908">
      <c r="B908" s="2"/>
      <c r="M908" s="5"/>
      <c r="N908" s="6"/>
      <c r="O908" s="5"/>
      <c r="P908" s="5"/>
      <c r="W908" s="7"/>
      <c r="X908" s="7"/>
      <c r="Y908" s="7"/>
      <c r="Z908" s="7"/>
      <c r="AA908" s="7"/>
    </row>
    <row r="909">
      <c r="B909" s="2"/>
      <c r="M909" s="5"/>
      <c r="N909" s="6"/>
      <c r="O909" s="5"/>
      <c r="P909" s="5"/>
      <c r="W909" s="7"/>
      <c r="X909" s="7"/>
      <c r="Y909" s="7"/>
      <c r="Z909" s="7"/>
      <c r="AA909" s="7"/>
    </row>
    <row r="910">
      <c r="B910" s="2"/>
      <c r="M910" s="5"/>
      <c r="N910" s="6"/>
      <c r="O910" s="5"/>
      <c r="P910" s="5"/>
      <c r="W910" s="7"/>
      <c r="X910" s="7"/>
      <c r="Y910" s="7"/>
      <c r="Z910" s="7"/>
      <c r="AA910" s="7"/>
    </row>
    <row r="911">
      <c r="B911" s="2"/>
      <c r="M911" s="5"/>
      <c r="N911" s="6"/>
      <c r="O911" s="5"/>
      <c r="P911" s="5"/>
      <c r="W911" s="7"/>
      <c r="X911" s="7"/>
      <c r="Y911" s="7"/>
      <c r="Z911" s="7"/>
      <c r="AA911" s="7"/>
    </row>
    <row r="912">
      <c r="B912" s="2"/>
      <c r="M912" s="5"/>
      <c r="N912" s="6"/>
      <c r="O912" s="5"/>
      <c r="P912" s="5"/>
      <c r="W912" s="7"/>
      <c r="X912" s="7"/>
      <c r="Y912" s="7"/>
      <c r="Z912" s="7"/>
      <c r="AA912" s="7"/>
    </row>
    <row r="913">
      <c r="B913" s="2"/>
      <c r="M913" s="5"/>
      <c r="N913" s="6"/>
      <c r="O913" s="5"/>
      <c r="P913" s="5"/>
      <c r="W913" s="7"/>
      <c r="X913" s="7"/>
      <c r="Y913" s="7"/>
      <c r="Z913" s="7"/>
      <c r="AA913" s="7"/>
    </row>
    <row r="914">
      <c r="B914" s="2"/>
      <c r="M914" s="5"/>
      <c r="N914" s="6"/>
      <c r="O914" s="5"/>
      <c r="P914" s="5"/>
      <c r="W914" s="7"/>
      <c r="X914" s="7"/>
      <c r="Y914" s="7"/>
      <c r="Z914" s="7"/>
      <c r="AA914" s="7"/>
    </row>
    <row r="915">
      <c r="B915" s="2"/>
      <c r="M915" s="5"/>
      <c r="N915" s="6"/>
      <c r="O915" s="5"/>
      <c r="P915" s="5"/>
      <c r="W915" s="7"/>
      <c r="X915" s="7"/>
      <c r="Y915" s="7"/>
      <c r="Z915" s="7"/>
      <c r="AA915" s="7"/>
    </row>
    <row r="916">
      <c r="B916" s="2"/>
      <c r="M916" s="5"/>
      <c r="N916" s="6"/>
      <c r="O916" s="5"/>
      <c r="P916" s="5"/>
      <c r="W916" s="7"/>
      <c r="X916" s="7"/>
      <c r="Y916" s="7"/>
      <c r="Z916" s="7"/>
      <c r="AA916" s="7"/>
    </row>
    <row r="917">
      <c r="B917" s="2"/>
      <c r="M917" s="5"/>
      <c r="N917" s="6"/>
      <c r="O917" s="5"/>
      <c r="P917" s="5"/>
      <c r="W917" s="7"/>
      <c r="X917" s="7"/>
      <c r="Y917" s="7"/>
      <c r="Z917" s="7"/>
      <c r="AA917" s="7"/>
    </row>
    <row r="918">
      <c r="B918" s="2"/>
      <c r="M918" s="5"/>
      <c r="N918" s="6"/>
      <c r="O918" s="5"/>
      <c r="P918" s="5"/>
      <c r="W918" s="7"/>
      <c r="X918" s="7"/>
      <c r="Y918" s="7"/>
      <c r="Z918" s="7"/>
      <c r="AA918" s="7"/>
    </row>
    <row r="919">
      <c r="B919" s="2"/>
      <c r="M919" s="5"/>
      <c r="N919" s="6"/>
      <c r="O919" s="5"/>
      <c r="P919" s="5"/>
      <c r="W919" s="7"/>
      <c r="X919" s="7"/>
      <c r="Y919" s="7"/>
      <c r="Z919" s="7"/>
      <c r="AA919" s="7"/>
    </row>
    <row r="920">
      <c r="B920" s="2"/>
      <c r="M920" s="5"/>
      <c r="N920" s="6"/>
      <c r="O920" s="5"/>
      <c r="P920" s="5"/>
      <c r="W920" s="7"/>
      <c r="X920" s="7"/>
      <c r="Y920" s="7"/>
      <c r="Z920" s="7"/>
      <c r="AA920" s="7"/>
    </row>
    <row r="921">
      <c r="B921" s="2"/>
      <c r="M921" s="5"/>
      <c r="N921" s="6"/>
      <c r="O921" s="5"/>
      <c r="P921" s="5"/>
      <c r="W921" s="7"/>
      <c r="X921" s="7"/>
      <c r="Y921" s="7"/>
      <c r="Z921" s="7"/>
      <c r="AA921" s="7"/>
    </row>
    <row r="922">
      <c r="B922" s="2"/>
      <c r="M922" s="5"/>
      <c r="N922" s="6"/>
      <c r="O922" s="5"/>
      <c r="P922" s="5"/>
      <c r="W922" s="7"/>
      <c r="X922" s="7"/>
      <c r="Y922" s="7"/>
      <c r="Z922" s="7"/>
      <c r="AA922" s="7"/>
    </row>
    <row r="923">
      <c r="B923" s="2"/>
      <c r="M923" s="5"/>
      <c r="N923" s="6"/>
      <c r="O923" s="5"/>
      <c r="P923" s="5"/>
      <c r="W923" s="7"/>
      <c r="X923" s="7"/>
      <c r="Y923" s="7"/>
      <c r="Z923" s="7"/>
      <c r="AA923" s="7"/>
    </row>
    <row r="924">
      <c r="B924" s="2"/>
      <c r="M924" s="5"/>
      <c r="N924" s="6"/>
      <c r="O924" s="5"/>
      <c r="P924" s="5"/>
      <c r="W924" s="7"/>
      <c r="X924" s="7"/>
      <c r="Y924" s="7"/>
      <c r="Z924" s="7"/>
      <c r="AA924" s="7"/>
    </row>
    <row r="925">
      <c r="B925" s="2"/>
      <c r="M925" s="5"/>
      <c r="N925" s="6"/>
      <c r="O925" s="5"/>
      <c r="P925" s="5"/>
      <c r="W925" s="7"/>
      <c r="X925" s="7"/>
      <c r="Y925" s="7"/>
      <c r="Z925" s="7"/>
      <c r="AA925" s="7"/>
    </row>
    <row r="926">
      <c r="B926" s="2"/>
      <c r="M926" s="5"/>
      <c r="N926" s="6"/>
      <c r="O926" s="5"/>
      <c r="P926" s="5"/>
      <c r="W926" s="7"/>
      <c r="X926" s="7"/>
      <c r="Y926" s="7"/>
      <c r="Z926" s="7"/>
      <c r="AA926" s="7"/>
    </row>
    <row r="927">
      <c r="B927" s="2"/>
      <c r="M927" s="5"/>
      <c r="N927" s="6"/>
      <c r="O927" s="5"/>
      <c r="P927" s="5"/>
      <c r="W927" s="7"/>
      <c r="X927" s="7"/>
      <c r="Y927" s="7"/>
      <c r="Z927" s="7"/>
      <c r="AA927" s="7"/>
    </row>
    <row r="928">
      <c r="B928" s="2"/>
      <c r="M928" s="5"/>
      <c r="N928" s="6"/>
      <c r="O928" s="5"/>
      <c r="P928" s="5"/>
      <c r="W928" s="7"/>
      <c r="X928" s="7"/>
      <c r="Y928" s="7"/>
      <c r="Z928" s="7"/>
      <c r="AA928" s="7"/>
    </row>
    <row r="929">
      <c r="B929" s="2"/>
      <c r="M929" s="5"/>
      <c r="N929" s="6"/>
      <c r="O929" s="5"/>
      <c r="P929" s="5"/>
      <c r="W929" s="7"/>
      <c r="X929" s="7"/>
      <c r="Y929" s="7"/>
      <c r="Z929" s="7"/>
      <c r="AA929" s="7"/>
    </row>
    <row r="930">
      <c r="B930" s="2"/>
      <c r="M930" s="5"/>
      <c r="N930" s="6"/>
      <c r="O930" s="5"/>
      <c r="P930" s="5"/>
      <c r="W930" s="7"/>
      <c r="X930" s="7"/>
      <c r="Y930" s="7"/>
      <c r="Z930" s="7"/>
      <c r="AA930" s="7"/>
    </row>
    <row r="931">
      <c r="M931" s="5"/>
      <c r="N931" s="6"/>
      <c r="O931" s="5"/>
      <c r="P931" s="5"/>
      <c r="W931" s="7"/>
      <c r="X931" s="7"/>
      <c r="Y931" s="7"/>
      <c r="Z931" s="7"/>
      <c r="AA931" s="7"/>
    </row>
    <row r="932">
      <c r="M932" s="5"/>
      <c r="N932" s="6"/>
      <c r="O932" s="5"/>
      <c r="P932" s="5"/>
      <c r="W932" s="7"/>
      <c r="X932" s="7"/>
      <c r="Y932" s="7"/>
      <c r="Z932" s="7"/>
      <c r="AA932" s="7"/>
    </row>
    <row r="933">
      <c r="M933" s="5"/>
      <c r="N933" s="6"/>
      <c r="O933" s="5"/>
      <c r="P933" s="5"/>
      <c r="W933" s="7"/>
      <c r="X933" s="7"/>
      <c r="Y933" s="7"/>
      <c r="Z933" s="7"/>
      <c r="AA933" s="7"/>
    </row>
    <row r="934">
      <c r="M934" s="5"/>
      <c r="N934" s="6"/>
      <c r="O934" s="5"/>
      <c r="P934" s="5"/>
      <c r="W934" s="7"/>
      <c r="X934" s="7"/>
      <c r="Y934" s="7"/>
      <c r="Z934" s="7"/>
      <c r="AA934" s="7"/>
    </row>
    <row r="935">
      <c r="M935" s="5"/>
      <c r="N935" s="6"/>
      <c r="O935" s="5"/>
      <c r="P935" s="5"/>
      <c r="W935" s="7"/>
      <c r="X935" s="7"/>
      <c r="Y935" s="7"/>
      <c r="Z935" s="7"/>
      <c r="AA935" s="7"/>
    </row>
    <row r="936">
      <c r="M936" s="5"/>
      <c r="N936" s="6"/>
      <c r="O936" s="5"/>
      <c r="P936" s="5"/>
      <c r="W936" s="7"/>
      <c r="X936" s="7"/>
      <c r="Y936" s="7"/>
      <c r="Z936" s="7"/>
      <c r="AA936" s="7"/>
    </row>
    <row r="937">
      <c r="M937" s="5"/>
      <c r="N937" s="6"/>
      <c r="O937" s="5"/>
      <c r="P937" s="5"/>
      <c r="W937" s="7"/>
      <c r="X937" s="7"/>
      <c r="Y937" s="7"/>
      <c r="Z937" s="7"/>
      <c r="AA937" s="7"/>
    </row>
    <row r="938">
      <c r="M938" s="5"/>
      <c r="N938" s="6"/>
      <c r="O938" s="5"/>
      <c r="P938" s="5"/>
      <c r="W938" s="7"/>
      <c r="X938" s="7"/>
      <c r="Y938" s="7"/>
      <c r="Z938" s="7"/>
      <c r="AA938" s="7"/>
    </row>
    <row r="939">
      <c r="M939" s="5"/>
      <c r="N939" s="6"/>
      <c r="O939" s="5"/>
      <c r="P939" s="5"/>
      <c r="W939" s="7"/>
      <c r="X939" s="7"/>
      <c r="Y939" s="7"/>
      <c r="Z939" s="7"/>
      <c r="AA939" s="7"/>
    </row>
  </sheetData>
  <mergeCells count="3">
    <mergeCell ref="E2:G2"/>
    <mergeCell ref="J2:K2"/>
    <mergeCell ref="J51:K51"/>
  </mergeCells>
  <conditionalFormatting sqref="D3:D30 D32:D47">
    <cfRule type="expression" dxfId="0" priority="1">
      <formula>$E$3=E3</formula>
    </cfRule>
  </conditionalFormatting>
  <conditionalFormatting sqref="D3:D30 D32:D47">
    <cfRule type="expression" dxfId="1" priority="2">
      <formula>$E$4=E3</formula>
    </cfRule>
  </conditionalFormatting>
  <conditionalFormatting sqref="D3:D30 D32:D47">
    <cfRule type="expression" dxfId="2" priority="3">
      <formula>$E$5=E3</formula>
    </cfRule>
  </conditionalFormatting>
  <conditionalFormatting sqref="D3:D30 D32:D47">
    <cfRule type="expression" dxfId="3" priority="4">
      <formula>$E$6=E3</formula>
    </cfRule>
  </conditionalFormatting>
  <conditionalFormatting sqref="D3:D30 D32:D47">
    <cfRule type="expression" dxfId="4" priority="5">
      <formula>$G$3=E3</formula>
    </cfRule>
  </conditionalFormatting>
  <conditionalFormatting sqref="D3:D30 D32:D47">
    <cfRule type="expression" dxfId="5" priority="6">
      <formula>$G$4=E3</formula>
    </cfRule>
  </conditionalFormatting>
  <conditionalFormatting sqref="D3:D30 D32:D47">
    <cfRule type="expression" dxfId="6" priority="7">
      <formula>$G$5=E3</formula>
    </cfRule>
  </conditionalFormatting>
  <conditionalFormatting sqref="D3:D30 D32:D47">
    <cfRule type="expression" dxfId="7" priority="8">
      <formula>$G$6=E3</formula>
    </cfRule>
  </conditionalFormatting>
  <conditionalFormatting sqref="H3:H30 H32:H48">
    <cfRule type="expression" dxfId="8" priority="9">
      <formula>$E$4=G3</formula>
    </cfRule>
  </conditionalFormatting>
  <conditionalFormatting sqref="H3:H30 H32:H48">
    <cfRule type="expression" dxfId="2" priority="10">
      <formula>$E$5=G3</formula>
    </cfRule>
  </conditionalFormatting>
  <conditionalFormatting sqref="H3:H30 H32:H48">
    <cfRule type="expression" dxfId="9" priority="11">
      <formula>$E$6=G3</formula>
    </cfRule>
  </conditionalFormatting>
  <conditionalFormatting sqref="H3:H30 H32:H48">
    <cfRule type="expression" dxfId="4" priority="12">
      <formula>$G$3=G3</formula>
    </cfRule>
  </conditionalFormatting>
  <conditionalFormatting sqref="H3:H30 H32:H48">
    <cfRule type="expression" dxfId="10" priority="13">
      <formula>$G$4=G3</formula>
    </cfRule>
  </conditionalFormatting>
  <conditionalFormatting sqref="H3:H30 H32:H48">
    <cfRule type="expression" dxfId="6" priority="14">
      <formula>$G$5=G3</formula>
    </cfRule>
  </conditionalFormatting>
  <conditionalFormatting sqref="H3:H30 H32:H48">
    <cfRule type="expression" dxfId="7" priority="15">
      <formula>$G$6=G3</formula>
    </cfRule>
  </conditionalFormatting>
  <conditionalFormatting sqref="AG3:AG30">
    <cfRule type="expression" dxfId="11" priority="16">
      <formula>" =COUNTIF($Ag$3:$ag$30, Ag3) &gt; 1"</formula>
    </cfRule>
  </conditionalFormatting>
  <drawing r:id="rId1"/>
</worksheet>
</file>